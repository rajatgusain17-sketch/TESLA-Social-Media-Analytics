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ajat\Downloads\"/>
    </mc:Choice>
  </mc:AlternateContent>
  <xr:revisionPtr revIDLastSave="0" documentId="13_ncr:1_{B188B097-8A14-4223-AC7F-7A0E9C03E9AC}" xr6:coauthVersionLast="47" xr6:coauthVersionMax="47" xr10:uidLastSave="{00000000-0000-0000-0000-000000000000}"/>
  <bookViews>
    <workbookView xWindow="-120" yWindow="-120" windowWidth="20730" windowHeight="11160" firstSheet="17" activeTab="24" xr2:uid="{00000000-000D-0000-FFFF-FFFF00000000}"/>
  </bookViews>
  <sheets>
    <sheet name="Posts" sheetId="1" r:id="rId1"/>
    <sheet name="Engagement Summary" sheetId="2" r:id="rId2"/>
    <sheet name="Campaign Metadata" sheetId="3" r:id="rId3"/>
    <sheet name="Task 2.2" sheetId="5" r:id="rId4"/>
    <sheet name="Task 2.3.1" sheetId="6" r:id="rId5"/>
    <sheet name="Task 2.3.2" sheetId="38" r:id="rId6"/>
    <sheet name="Task 2.4" sheetId="44" r:id="rId7"/>
    <sheet name="Task 3.1" sheetId="24" r:id="rId8"/>
    <sheet name="Task 3.2" sheetId="40" r:id="rId9"/>
    <sheet name="Task 3.3" sheetId="39" r:id="rId10"/>
    <sheet name="Task 3.4" sheetId="46" r:id="rId11"/>
    <sheet name="Task 4.1" sheetId="26" r:id="rId12"/>
    <sheet name="Task 4.2" sheetId="21" r:id="rId13"/>
    <sheet name="Task 4.3" sheetId="17" r:id="rId14"/>
    <sheet name="Task 4.4" sheetId="18" r:id="rId15"/>
    <sheet name="Task 5.1.1" sheetId="27" r:id="rId16"/>
    <sheet name="Task 5.1.2" sheetId="29" r:id="rId17"/>
    <sheet name="Task 5.2.1" sheetId="35" r:id="rId18"/>
    <sheet name="Task 5.2.2" sheetId="51" r:id="rId19"/>
    <sheet name="Task 6.1" sheetId="31" r:id="rId20"/>
    <sheet name="Task 6.2" sheetId="32" r:id="rId21"/>
    <sheet name="Task 6.3" sheetId="37" r:id="rId22"/>
    <sheet name="Task 6.4" sheetId="45" r:id="rId23"/>
    <sheet name="Conclusion" sheetId="49" r:id="rId24"/>
    <sheet name="Drive Link" sheetId="52" r:id="rId25"/>
  </sheets>
  <definedNames>
    <definedName name="Slicer_Individual_Hashtags">#N/A</definedName>
    <definedName name="Slicer_Platform">#N/A</definedName>
    <definedName name="Slicer_Week_Start_Date">#N/A</definedName>
  </definedNames>
  <calcPr calcId="191029"/>
  <pivotCaches>
    <pivotCache cacheId="0" r:id="rId26"/>
    <pivotCache cacheId="1" r:id="rId27"/>
    <pivotCache cacheId="2" r:id="rId28"/>
    <pivotCache cacheId="3" r:id="rId29"/>
    <pivotCache cacheId="4" r:id="rId30"/>
    <pivotCache cacheId="5" r:id="rId31"/>
  </pivotCaches>
  <extLs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mpaign Metadata_db9ccdfa-f7a4-4697-9a4d-a40b35057604" name="Campaign Metadata" connection="Excel Tesla_Social_Media_Analytics"/>
          <x15:modelTable id="Posts_bc32bd3c-dc1b-4ab7-b4c1-16cd456e5cf5" name="Posts" connection="Excel Tesla_Social_Media_Analytics"/>
          <x15:modelTable id="Table3_dea57f4c-ab01-4017-a640-dce672055d89" name="Table3" connection="Query - 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J5" i="3"/>
  <c r="I5" i="3"/>
  <c r="H5" i="3"/>
  <c r="I4" i="3"/>
  <c r="J4" i="3" s="1"/>
  <c r="H4" i="3"/>
  <c r="I3" i="3"/>
  <c r="H3" i="3"/>
  <c r="J3" i="3" s="1"/>
  <c r="I2" i="3"/>
  <c r="J2" i="3" s="1"/>
  <c r="H2" i="3"/>
  <c r="I201" i="2"/>
  <c r="H201" i="2"/>
  <c r="I200" i="2"/>
  <c r="H200" i="2"/>
  <c r="I199" i="2"/>
  <c r="H199" i="2"/>
  <c r="I198" i="2"/>
  <c r="H198" i="2"/>
  <c r="I197" i="2"/>
  <c r="H197" i="2"/>
  <c r="I196" i="2"/>
  <c r="H196" i="2"/>
  <c r="I195" i="2"/>
  <c r="H195" i="2"/>
  <c r="I194" i="2"/>
  <c r="H194" i="2"/>
  <c r="I193" i="2"/>
  <c r="H193" i="2"/>
  <c r="I192" i="2"/>
  <c r="H192" i="2"/>
  <c r="I191" i="2"/>
  <c r="H191" i="2"/>
  <c r="I190" i="2"/>
  <c r="H190" i="2"/>
  <c r="I189" i="2"/>
  <c r="H189" i="2"/>
  <c r="I188" i="2"/>
  <c r="H188" i="2"/>
  <c r="I187" i="2"/>
  <c r="H187" i="2"/>
  <c r="I186" i="2"/>
  <c r="H186" i="2"/>
  <c r="I185" i="2"/>
  <c r="H185" i="2"/>
  <c r="I184" i="2"/>
  <c r="H184" i="2"/>
  <c r="I183" i="2"/>
  <c r="H183" i="2"/>
  <c r="I182" i="2"/>
  <c r="H182" i="2"/>
  <c r="I181" i="2"/>
  <c r="H181" i="2"/>
  <c r="I180" i="2"/>
  <c r="H180" i="2"/>
  <c r="I179" i="2"/>
  <c r="H179" i="2"/>
  <c r="I178" i="2"/>
  <c r="H178" i="2"/>
  <c r="I177" i="2"/>
  <c r="H177" i="2"/>
  <c r="I176" i="2"/>
  <c r="H176" i="2"/>
  <c r="I175" i="2"/>
  <c r="H175" i="2"/>
  <c r="I174" i="2"/>
  <c r="H174" i="2"/>
  <c r="I173" i="2"/>
  <c r="H173" i="2"/>
  <c r="I172" i="2"/>
  <c r="H172" i="2"/>
  <c r="I171" i="2"/>
  <c r="H171" i="2"/>
  <c r="I170" i="2"/>
  <c r="H170" i="2"/>
  <c r="I169" i="2"/>
  <c r="H169" i="2"/>
  <c r="I168" i="2"/>
  <c r="H168" i="2"/>
  <c r="I167" i="2"/>
  <c r="H167" i="2"/>
  <c r="I166" i="2"/>
  <c r="H166" i="2"/>
  <c r="I165" i="2"/>
  <c r="H165" i="2"/>
  <c r="I164" i="2"/>
  <c r="H164" i="2"/>
  <c r="I163" i="2"/>
  <c r="H163" i="2"/>
  <c r="I162" i="2"/>
  <c r="H162" i="2"/>
  <c r="I161" i="2"/>
  <c r="H161" i="2"/>
  <c r="I160" i="2"/>
  <c r="H160" i="2"/>
  <c r="I159" i="2"/>
  <c r="H159" i="2"/>
  <c r="I158" i="2"/>
  <c r="H158" i="2"/>
  <c r="I157" i="2"/>
  <c r="H157" i="2"/>
  <c r="I156" i="2"/>
  <c r="H156" i="2"/>
  <c r="I155" i="2"/>
  <c r="H155" i="2"/>
  <c r="I154" i="2"/>
  <c r="H154" i="2"/>
  <c r="I153" i="2"/>
  <c r="H153" i="2"/>
  <c r="I152" i="2"/>
  <c r="H152" i="2"/>
  <c r="I151" i="2"/>
  <c r="H151" i="2"/>
  <c r="I150" i="2"/>
  <c r="H150" i="2"/>
  <c r="I149" i="2"/>
  <c r="H149" i="2"/>
  <c r="I148" i="2"/>
  <c r="H148" i="2"/>
  <c r="I147" i="2"/>
  <c r="H147" i="2"/>
  <c r="I146" i="2"/>
  <c r="H146" i="2"/>
  <c r="I145" i="2"/>
  <c r="H145" i="2"/>
  <c r="I144" i="2"/>
  <c r="H144" i="2"/>
  <c r="I143" i="2"/>
  <c r="H143" i="2"/>
  <c r="I142" i="2"/>
  <c r="H142" i="2"/>
  <c r="I141" i="2"/>
  <c r="H141" i="2"/>
  <c r="I140" i="2"/>
  <c r="H140" i="2"/>
  <c r="I139" i="2"/>
  <c r="H139" i="2"/>
  <c r="I138" i="2"/>
  <c r="H138" i="2"/>
  <c r="I137" i="2"/>
  <c r="H137" i="2"/>
  <c r="I136" i="2"/>
  <c r="H136" i="2"/>
  <c r="I135" i="2"/>
  <c r="H135" i="2"/>
  <c r="I134" i="2"/>
  <c r="H134" i="2"/>
  <c r="I133" i="2"/>
  <c r="H133" i="2"/>
  <c r="I132" i="2"/>
  <c r="H132" i="2"/>
  <c r="I131" i="2"/>
  <c r="H131" i="2"/>
  <c r="I130" i="2"/>
  <c r="H130" i="2"/>
  <c r="I129" i="2"/>
  <c r="H129" i="2"/>
  <c r="I128" i="2"/>
  <c r="H128" i="2"/>
  <c r="I127" i="2"/>
  <c r="H127" i="2"/>
  <c r="I126" i="2"/>
  <c r="H126" i="2"/>
  <c r="I125" i="2"/>
  <c r="H125" i="2"/>
  <c r="I124" i="2"/>
  <c r="H124" i="2"/>
  <c r="I123" i="2"/>
  <c r="H123" i="2"/>
  <c r="I122" i="2"/>
  <c r="H122" i="2"/>
  <c r="I121" i="2"/>
  <c r="H121" i="2"/>
  <c r="I120" i="2"/>
  <c r="H120" i="2"/>
  <c r="I119" i="2"/>
  <c r="H119" i="2"/>
  <c r="I118" i="2"/>
  <c r="H118" i="2"/>
  <c r="I117" i="2"/>
  <c r="H117" i="2"/>
  <c r="I116" i="2"/>
  <c r="H116" i="2"/>
  <c r="I115" i="2"/>
  <c r="H115" i="2"/>
  <c r="I114" i="2"/>
  <c r="H114" i="2"/>
  <c r="I113" i="2"/>
  <c r="H113" i="2"/>
  <c r="I112" i="2"/>
  <c r="H112" i="2"/>
  <c r="I111" i="2"/>
  <c r="H111" i="2"/>
  <c r="I110" i="2"/>
  <c r="H110" i="2"/>
  <c r="I109" i="2"/>
  <c r="H109" i="2"/>
  <c r="I108" i="2"/>
  <c r="H108" i="2"/>
  <c r="I107" i="2"/>
  <c r="H107" i="2"/>
  <c r="I106" i="2"/>
  <c r="H106" i="2"/>
  <c r="I105" i="2"/>
  <c r="H105" i="2"/>
  <c r="I104" i="2"/>
  <c r="H104" i="2"/>
  <c r="I103" i="2"/>
  <c r="H103" i="2"/>
  <c r="I102" i="2"/>
  <c r="H102" i="2"/>
  <c r="I101" i="2"/>
  <c r="H101" i="2"/>
  <c r="I100" i="2"/>
  <c r="H100" i="2"/>
  <c r="I99" i="2"/>
  <c r="H99" i="2"/>
  <c r="I98" i="2"/>
  <c r="H98" i="2"/>
  <c r="I97" i="2"/>
  <c r="H97" i="2"/>
  <c r="I96" i="2"/>
  <c r="H96" i="2"/>
  <c r="I95" i="2"/>
  <c r="H95" i="2"/>
  <c r="I94" i="2"/>
  <c r="H94" i="2"/>
  <c r="I93" i="2"/>
  <c r="H93" i="2"/>
  <c r="I92" i="2"/>
  <c r="H92" i="2"/>
  <c r="I91" i="2"/>
  <c r="H91" i="2"/>
  <c r="I90" i="2"/>
  <c r="H90" i="2"/>
  <c r="I89" i="2"/>
  <c r="H89" i="2"/>
  <c r="I88" i="2"/>
  <c r="H88" i="2"/>
  <c r="I87" i="2"/>
  <c r="H87" i="2"/>
  <c r="I86" i="2"/>
  <c r="H86" i="2"/>
  <c r="I85" i="2"/>
  <c r="H85" i="2"/>
  <c r="I84" i="2"/>
  <c r="H84" i="2"/>
  <c r="I83" i="2"/>
  <c r="H83" i="2"/>
  <c r="I82" i="2"/>
  <c r="H82" i="2"/>
  <c r="I81" i="2"/>
  <c r="H81" i="2"/>
  <c r="I80" i="2"/>
  <c r="H80" i="2"/>
  <c r="I79" i="2"/>
  <c r="H79" i="2"/>
  <c r="I78" i="2"/>
  <c r="H78" i="2"/>
  <c r="I77" i="2"/>
  <c r="H77" i="2"/>
  <c r="I76" i="2"/>
  <c r="H76" i="2"/>
  <c r="I75" i="2"/>
  <c r="H75" i="2"/>
  <c r="I74" i="2"/>
  <c r="H74" i="2"/>
  <c r="I73" i="2"/>
  <c r="H73" i="2"/>
  <c r="I72" i="2"/>
  <c r="H72" i="2"/>
  <c r="I71" i="2"/>
  <c r="H71" i="2"/>
  <c r="I70" i="2"/>
  <c r="H70" i="2"/>
  <c r="I69" i="2"/>
  <c r="H69" i="2"/>
  <c r="I68" i="2"/>
  <c r="H68" i="2"/>
  <c r="I67" i="2"/>
  <c r="H67" i="2"/>
  <c r="I66" i="2"/>
  <c r="H66" i="2"/>
  <c r="I65" i="2"/>
  <c r="H65" i="2"/>
  <c r="I64" i="2"/>
  <c r="H64" i="2"/>
  <c r="I63" i="2"/>
  <c r="H63" i="2"/>
  <c r="I62" i="2"/>
  <c r="H62" i="2"/>
  <c r="I61" i="2"/>
  <c r="H61" i="2"/>
  <c r="I60" i="2"/>
  <c r="H60" i="2"/>
  <c r="I59" i="2"/>
  <c r="H59" i="2"/>
  <c r="I58" i="2"/>
  <c r="H58" i="2"/>
  <c r="I57" i="2"/>
  <c r="H57" i="2"/>
  <c r="I56" i="2"/>
  <c r="H56" i="2"/>
  <c r="I55" i="2"/>
  <c r="H55" i="2"/>
  <c r="I54" i="2"/>
  <c r="H54" i="2"/>
  <c r="I53" i="2"/>
  <c r="H53" i="2"/>
  <c r="I52" i="2"/>
  <c r="H52" i="2"/>
  <c r="I51" i="2"/>
  <c r="H51" i="2"/>
  <c r="I50" i="2"/>
  <c r="H50" i="2"/>
  <c r="I49" i="2"/>
  <c r="H49" i="2"/>
  <c r="I48" i="2"/>
  <c r="H48" i="2"/>
  <c r="I47" i="2"/>
  <c r="H47" i="2"/>
  <c r="I46" i="2"/>
  <c r="H46" i="2"/>
  <c r="I45" i="2"/>
  <c r="H45" i="2"/>
  <c r="I44" i="2"/>
  <c r="H44" i="2"/>
  <c r="I43" i="2"/>
  <c r="H43" i="2"/>
  <c r="I42" i="2"/>
  <c r="H42" i="2"/>
  <c r="I41" i="2"/>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I3" i="2"/>
  <c r="H3" i="2"/>
  <c r="I2" i="2"/>
  <c r="H2" i="2"/>
  <c r="P301" i="1"/>
  <c r="J301" i="1"/>
  <c r="P300" i="1"/>
  <c r="J300" i="1"/>
  <c r="P299" i="1"/>
  <c r="J299" i="1"/>
  <c r="P298" i="1"/>
  <c r="J298" i="1"/>
  <c r="P297" i="1"/>
  <c r="J297" i="1"/>
  <c r="P296" i="1"/>
  <c r="J296" i="1"/>
  <c r="P295" i="1"/>
  <c r="J295" i="1"/>
  <c r="P294" i="1"/>
  <c r="J294" i="1"/>
  <c r="P293" i="1"/>
  <c r="J293" i="1"/>
  <c r="P292" i="1"/>
  <c r="J292" i="1"/>
  <c r="P291" i="1"/>
  <c r="J291" i="1"/>
  <c r="P290" i="1"/>
  <c r="J290" i="1"/>
  <c r="P289" i="1"/>
  <c r="J289" i="1"/>
  <c r="P288" i="1"/>
  <c r="J288" i="1"/>
  <c r="P287" i="1"/>
  <c r="J287" i="1"/>
  <c r="P286" i="1"/>
  <c r="J286" i="1"/>
  <c r="P285" i="1"/>
  <c r="J285" i="1"/>
  <c r="P284" i="1"/>
  <c r="J284" i="1"/>
  <c r="P283" i="1"/>
  <c r="J283" i="1"/>
  <c r="P282" i="1"/>
  <c r="J282" i="1"/>
  <c r="P281" i="1"/>
  <c r="J281" i="1"/>
  <c r="P280" i="1"/>
  <c r="J280" i="1"/>
  <c r="P279" i="1"/>
  <c r="J279" i="1"/>
  <c r="P278" i="1"/>
  <c r="J278" i="1"/>
  <c r="P277" i="1"/>
  <c r="J277" i="1"/>
  <c r="P276" i="1"/>
  <c r="J276" i="1"/>
  <c r="P275" i="1"/>
  <c r="J275" i="1"/>
  <c r="P274" i="1"/>
  <c r="J274" i="1"/>
  <c r="P273" i="1"/>
  <c r="J273" i="1"/>
  <c r="P272" i="1"/>
  <c r="J272" i="1"/>
  <c r="P271" i="1"/>
  <c r="J271" i="1"/>
  <c r="P270" i="1"/>
  <c r="J270" i="1"/>
  <c r="P269" i="1"/>
  <c r="J269" i="1"/>
  <c r="P268" i="1"/>
  <c r="J268" i="1"/>
  <c r="P267" i="1"/>
  <c r="J267" i="1"/>
  <c r="P266" i="1"/>
  <c r="J266" i="1"/>
  <c r="P265" i="1"/>
  <c r="J265" i="1"/>
  <c r="P264" i="1"/>
  <c r="J264" i="1"/>
  <c r="P263" i="1"/>
  <c r="J263" i="1"/>
  <c r="P262" i="1"/>
  <c r="J262" i="1"/>
  <c r="P261" i="1"/>
  <c r="J261" i="1"/>
  <c r="P260" i="1"/>
  <c r="J260" i="1"/>
  <c r="P259" i="1"/>
  <c r="J259" i="1"/>
  <c r="P258" i="1"/>
  <c r="J258" i="1"/>
  <c r="P257" i="1"/>
  <c r="J257" i="1"/>
  <c r="P256" i="1"/>
  <c r="J256" i="1"/>
  <c r="P255" i="1"/>
  <c r="J255" i="1"/>
  <c r="P254" i="1"/>
  <c r="J254" i="1"/>
  <c r="P253" i="1"/>
  <c r="J253" i="1"/>
  <c r="P252" i="1"/>
  <c r="J252" i="1"/>
  <c r="P251" i="1"/>
  <c r="J251" i="1"/>
  <c r="P250" i="1"/>
  <c r="J250" i="1"/>
  <c r="P249" i="1"/>
  <c r="J249" i="1"/>
  <c r="P248" i="1"/>
  <c r="J248" i="1"/>
  <c r="P247" i="1"/>
  <c r="J247" i="1"/>
  <c r="P246" i="1"/>
  <c r="J246" i="1"/>
  <c r="P245" i="1"/>
  <c r="J245" i="1"/>
  <c r="P244" i="1"/>
  <c r="J244" i="1"/>
  <c r="P243" i="1"/>
  <c r="J243" i="1"/>
  <c r="P242" i="1"/>
  <c r="J242" i="1"/>
  <c r="P241" i="1"/>
  <c r="J241" i="1"/>
  <c r="P240" i="1"/>
  <c r="J240" i="1"/>
  <c r="P239" i="1"/>
  <c r="J239" i="1"/>
  <c r="P238" i="1"/>
  <c r="J238" i="1"/>
  <c r="P237" i="1"/>
  <c r="J237" i="1"/>
  <c r="P236" i="1"/>
  <c r="J236" i="1"/>
  <c r="P235" i="1"/>
  <c r="J235" i="1"/>
  <c r="P234" i="1"/>
  <c r="J234" i="1"/>
  <c r="P233" i="1"/>
  <c r="J233" i="1"/>
  <c r="P232" i="1"/>
  <c r="J232" i="1"/>
  <c r="P231" i="1"/>
  <c r="J231" i="1"/>
  <c r="P230" i="1"/>
  <c r="J230" i="1"/>
  <c r="P229" i="1"/>
  <c r="J229" i="1"/>
  <c r="P228" i="1"/>
  <c r="J228" i="1"/>
  <c r="P227" i="1"/>
  <c r="J227" i="1"/>
  <c r="P226" i="1"/>
  <c r="J226" i="1"/>
  <c r="P225" i="1"/>
  <c r="J225" i="1"/>
  <c r="P224" i="1"/>
  <c r="J224" i="1"/>
  <c r="P223" i="1"/>
  <c r="J223" i="1"/>
  <c r="P222" i="1"/>
  <c r="J222" i="1"/>
  <c r="P221" i="1"/>
  <c r="J221" i="1"/>
  <c r="P220" i="1"/>
  <c r="J220" i="1"/>
  <c r="P219" i="1"/>
  <c r="J219" i="1"/>
  <c r="P218" i="1"/>
  <c r="J218" i="1"/>
  <c r="P217" i="1"/>
  <c r="J217" i="1"/>
  <c r="P216" i="1"/>
  <c r="J216" i="1"/>
  <c r="P215" i="1"/>
  <c r="J215" i="1"/>
  <c r="P214" i="1"/>
  <c r="J214" i="1"/>
  <c r="P213" i="1"/>
  <c r="J213" i="1"/>
  <c r="P212" i="1"/>
  <c r="J212" i="1"/>
  <c r="P211" i="1"/>
  <c r="J211" i="1"/>
  <c r="P210" i="1"/>
  <c r="J210" i="1"/>
  <c r="P209" i="1"/>
  <c r="J209" i="1"/>
  <c r="P208" i="1"/>
  <c r="J208" i="1"/>
  <c r="P207" i="1"/>
  <c r="J207" i="1"/>
  <c r="P206" i="1"/>
  <c r="J206" i="1"/>
  <c r="P205" i="1"/>
  <c r="J205" i="1"/>
  <c r="P204" i="1"/>
  <c r="J204" i="1"/>
  <c r="P203" i="1"/>
  <c r="J203" i="1"/>
  <c r="P202" i="1"/>
  <c r="J202" i="1"/>
  <c r="P201" i="1"/>
  <c r="J201" i="1"/>
  <c r="P200" i="1"/>
  <c r="J200" i="1"/>
  <c r="P199" i="1"/>
  <c r="J199" i="1"/>
  <c r="P198" i="1"/>
  <c r="J198" i="1"/>
  <c r="P197" i="1"/>
  <c r="J197" i="1"/>
  <c r="P196" i="1"/>
  <c r="J196" i="1"/>
  <c r="P195" i="1"/>
  <c r="J195" i="1"/>
  <c r="P194" i="1"/>
  <c r="J194" i="1"/>
  <c r="P193" i="1"/>
  <c r="J193" i="1"/>
  <c r="P192" i="1"/>
  <c r="J192" i="1"/>
  <c r="P191" i="1"/>
  <c r="J191" i="1"/>
  <c r="P190" i="1"/>
  <c r="J190" i="1"/>
  <c r="P189" i="1"/>
  <c r="J189" i="1"/>
  <c r="P188" i="1"/>
  <c r="J188" i="1"/>
  <c r="P187" i="1"/>
  <c r="J187" i="1"/>
  <c r="P186" i="1"/>
  <c r="J186" i="1"/>
  <c r="P185" i="1"/>
  <c r="J185" i="1"/>
  <c r="P184" i="1"/>
  <c r="J184" i="1"/>
  <c r="P183" i="1"/>
  <c r="J183" i="1"/>
  <c r="P182" i="1"/>
  <c r="J182" i="1"/>
  <c r="P181" i="1"/>
  <c r="J181" i="1"/>
  <c r="P180" i="1"/>
  <c r="J180" i="1"/>
  <c r="P179" i="1"/>
  <c r="J179" i="1"/>
  <c r="P178" i="1"/>
  <c r="J178" i="1"/>
  <c r="P177" i="1"/>
  <c r="J177" i="1"/>
  <c r="P176" i="1"/>
  <c r="J176" i="1"/>
  <c r="P175" i="1"/>
  <c r="J175" i="1"/>
  <c r="P174" i="1"/>
  <c r="J174" i="1"/>
  <c r="P173" i="1"/>
  <c r="J173" i="1"/>
  <c r="P172" i="1"/>
  <c r="J172" i="1"/>
  <c r="P171" i="1"/>
  <c r="J171" i="1"/>
  <c r="P170" i="1"/>
  <c r="J170" i="1"/>
  <c r="P169" i="1"/>
  <c r="J169" i="1"/>
  <c r="P168" i="1"/>
  <c r="J168" i="1"/>
  <c r="P167" i="1"/>
  <c r="J167" i="1"/>
  <c r="P166" i="1"/>
  <c r="J166" i="1"/>
  <c r="P165" i="1"/>
  <c r="J165" i="1"/>
  <c r="P164" i="1"/>
  <c r="J164" i="1"/>
  <c r="P163" i="1"/>
  <c r="J163" i="1"/>
  <c r="P162" i="1"/>
  <c r="J162" i="1"/>
  <c r="P161" i="1"/>
  <c r="J161" i="1"/>
  <c r="P160" i="1"/>
  <c r="J160" i="1"/>
  <c r="P159" i="1"/>
  <c r="J159" i="1"/>
  <c r="P158" i="1"/>
  <c r="J158" i="1"/>
  <c r="P157" i="1"/>
  <c r="J157" i="1"/>
  <c r="P156" i="1"/>
  <c r="J156" i="1"/>
  <c r="P155" i="1"/>
  <c r="J155" i="1"/>
  <c r="P154" i="1"/>
  <c r="J154" i="1"/>
  <c r="P153" i="1"/>
  <c r="J153" i="1"/>
  <c r="P152" i="1"/>
  <c r="J152" i="1"/>
  <c r="P151" i="1"/>
  <c r="J151" i="1"/>
  <c r="P150" i="1"/>
  <c r="J150" i="1"/>
  <c r="P149" i="1"/>
  <c r="J149" i="1"/>
  <c r="P148" i="1"/>
  <c r="J148" i="1"/>
  <c r="P147" i="1"/>
  <c r="J147" i="1"/>
  <c r="P146" i="1"/>
  <c r="J146" i="1"/>
  <c r="P145" i="1"/>
  <c r="J145" i="1"/>
  <c r="P144" i="1"/>
  <c r="J144" i="1"/>
  <c r="P143" i="1"/>
  <c r="J143" i="1"/>
  <c r="P142" i="1"/>
  <c r="J142" i="1"/>
  <c r="P141" i="1"/>
  <c r="J141" i="1"/>
  <c r="P140" i="1"/>
  <c r="J140" i="1"/>
  <c r="P139" i="1"/>
  <c r="J139" i="1"/>
  <c r="P138" i="1"/>
  <c r="J138" i="1"/>
  <c r="P137" i="1"/>
  <c r="J137" i="1"/>
  <c r="P136" i="1"/>
  <c r="J136" i="1"/>
  <c r="P135" i="1"/>
  <c r="J135" i="1"/>
  <c r="P134" i="1"/>
  <c r="J134" i="1"/>
  <c r="P133" i="1"/>
  <c r="J133" i="1"/>
  <c r="P132" i="1"/>
  <c r="J132" i="1"/>
  <c r="P131" i="1"/>
  <c r="J131" i="1"/>
  <c r="P130" i="1"/>
  <c r="J130" i="1"/>
  <c r="P129" i="1"/>
  <c r="J129" i="1"/>
  <c r="P128" i="1"/>
  <c r="J128" i="1"/>
  <c r="P127" i="1"/>
  <c r="J127" i="1"/>
  <c r="P126" i="1"/>
  <c r="J126" i="1"/>
  <c r="P125" i="1"/>
  <c r="J125" i="1"/>
  <c r="P124" i="1"/>
  <c r="J124" i="1"/>
  <c r="P123" i="1"/>
  <c r="J123" i="1"/>
  <c r="P122" i="1"/>
  <c r="J122" i="1"/>
  <c r="P121" i="1"/>
  <c r="J121" i="1"/>
  <c r="P120" i="1"/>
  <c r="J120" i="1"/>
  <c r="P119" i="1"/>
  <c r="J119" i="1"/>
  <c r="P118" i="1"/>
  <c r="J118" i="1"/>
  <c r="P117" i="1"/>
  <c r="J117" i="1"/>
  <c r="P116" i="1"/>
  <c r="J116" i="1"/>
  <c r="P115" i="1"/>
  <c r="J115" i="1"/>
  <c r="P114" i="1"/>
  <c r="J114" i="1"/>
  <c r="P113" i="1"/>
  <c r="J113" i="1"/>
  <c r="P112" i="1"/>
  <c r="J112" i="1"/>
  <c r="P111" i="1"/>
  <c r="J111" i="1"/>
  <c r="P110" i="1"/>
  <c r="J110" i="1"/>
  <c r="P109" i="1"/>
  <c r="J109" i="1"/>
  <c r="P108" i="1"/>
  <c r="J108" i="1"/>
  <c r="P107" i="1"/>
  <c r="J107" i="1"/>
  <c r="P106" i="1"/>
  <c r="J106" i="1"/>
  <c r="P105" i="1"/>
  <c r="J105" i="1"/>
  <c r="P104" i="1"/>
  <c r="J104" i="1"/>
  <c r="P103" i="1"/>
  <c r="J103" i="1"/>
  <c r="P102" i="1"/>
  <c r="J102" i="1"/>
  <c r="P101" i="1"/>
  <c r="J101" i="1"/>
  <c r="P100" i="1"/>
  <c r="J100" i="1"/>
  <c r="P99" i="1"/>
  <c r="J99" i="1"/>
  <c r="P98" i="1"/>
  <c r="J98" i="1"/>
  <c r="P97" i="1"/>
  <c r="J97" i="1"/>
  <c r="P96" i="1"/>
  <c r="J96" i="1"/>
  <c r="P95" i="1"/>
  <c r="J95" i="1"/>
  <c r="P94" i="1"/>
  <c r="J94" i="1"/>
  <c r="P93" i="1"/>
  <c r="J93" i="1"/>
  <c r="P92" i="1"/>
  <c r="J92" i="1"/>
  <c r="P91" i="1"/>
  <c r="J91" i="1"/>
  <c r="P90" i="1"/>
  <c r="J90" i="1"/>
  <c r="P89" i="1"/>
  <c r="J89" i="1"/>
  <c r="P88" i="1"/>
  <c r="J88" i="1"/>
  <c r="P87" i="1"/>
  <c r="J87" i="1"/>
  <c r="P86" i="1"/>
  <c r="J86" i="1"/>
  <c r="P85" i="1"/>
  <c r="J85" i="1"/>
  <c r="P84" i="1"/>
  <c r="J84" i="1"/>
  <c r="P83" i="1"/>
  <c r="J83" i="1"/>
  <c r="P82" i="1"/>
  <c r="J82" i="1"/>
  <c r="P81" i="1"/>
  <c r="J81" i="1"/>
  <c r="P80" i="1"/>
  <c r="J80" i="1"/>
  <c r="P79" i="1"/>
  <c r="J79" i="1"/>
  <c r="P78" i="1"/>
  <c r="J78" i="1"/>
  <c r="P77" i="1"/>
  <c r="J77" i="1"/>
  <c r="P76" i="1"/>
  <c r="J76" i="1"/>
  <c r="P75" i="1"/>
  <c r="J75" i="1"/>
  <c r="P74" i="1"/>
  <c r="J74" i="1"/>
  <c r="P73" i="1"/>
  <c r="J73" i="1"/>
  <c r="P72" i="1"/>
  <c r="J72" i="1"/>
  <c r="P71" i="1"/>
  <c r="J71" i="1"/>
  <c r="P70" i="1"/>
  <c r="J70" i="1"/>
  <c r="P69" i="1"/>
  <c r="J69" i="1"/>
  <c r="P68" i="1"/>
  <c r="J68" i="1"/>
  <c r="P67" i="1"/>
  <c r="J67" i="1"/>
  <c r="P66" i="1"/>
  <c r="J66" i="1"/>
  <c r="P65" i="1"/>
  <c r="J65" i="1"/>
  <c r="P64" i="1"/>
  <c r="J64" i="1"/>
  <c r="P63" i="1"/>
  <c r="J63" i="1"/>
  <c r="P62" i="1"/>
  <c r="J62" i="1"/>
  <c r="P61" i="1"/>
  <c r="J61" i="1"/>
  <c r="P60" i="1"/>
  <c r="J60" i="1"/>
  <c r="P59" i="1"/>
  <c r="J59" i="1"/>
  <c r="P58" i="1"/>
  <c r="J58" i="1"/>
  <c r="P57" i="1"/>
  <c r="J57" i="1"/>
  <c r="P56" i="1"/>
  <c r="J56" i="1"/>
  <c r="P55" i="1"/>
  <c r="J55" i="1"/>
  <c r="P54" i="1"/>
  <c r="J54" i="1"/>
  <c r="P53" i="1"/>
  <c r="J53" i="1"/>
  <c r="P52" i="1"/>
  <c r="J52" i="1"/>
  <c r="P51" i="1"/>
  <c r="J51" i="1"/>
  <c r="P50" i="1"/>
  <c r="J50" i="1"/>
  <c r="P49" i="1"/>
  <c r="J49" i="1"/>
  <c r="P48" i="1"/>
  <c r="J48" i="1"/>
  <c r="P47" i="1"/>
  <c r="J47" i="1"/>
  <c r="P46" i="1"/>
  <c r="J46" i="1"/>
  <c r="P45" i="1"/>
  <c r="J45" i="1"/>
  <c r="P44" i="1"/>
  <c r="J44" i="1"/>
  <c r="P43" i="1"/>
  <c r="J43" i="1"/>
  <c r="P42" i="1"/>
  <c r="J42" i="1"/>
  <c r="P41" i="1"/>
  <c r="J41" i="1"/>
  <c r="P40" i="1"/>
  <c r="J40" i="1"/>
  <c r="P39" i="1"/>
  <c r="J39" i="1"/>
  <c r="P38" i="1"/>
  <c r="J38" i="1"/>
  <c r="P37" i="1"/>
  <c r="J37" i="1"/>
  <c r="P36" i="1"/>
  <c r="J36" i="1"/>
  <c r="P35" i="1"/>
  <c r="J35" i="1"/>
  <c r="P34" i="1"/>
  <c r="J34" i="1"/>
  <c r="P33" i="1"/>
  <c r="J33" i="1"/>
  <c r="P32" i="1"/>
  <c r="J32" i="1"/>
  <c r="P31" i="1"/>
  <c r="J31" i="1"/>
  <c r="P30" i="1"/>
  <c r="J30" i="1"/>
  <c r="P29" i="1"/>
  <c r="J29" i="1"/>
  <c r="P28" i="1"/>
  <c r="J28" i="1"/>
  <c r="P27" i="1"/>
  <c r="J27" i="1"/>
  <c r="P26" i="1"/>
  <c r="J26" i="1"/>
  <c r="P25" i="1"/>
  <c r="J25" i="1"/>
  <c r="P24" i="1"/>
  <c r="J24" i="1"/>
  <c r="P23" i="1"/>
  <c r="J23" i="1"/>
  <c r="P22" i="1"/>
  <c r="J22" i="1"/>
  <c r="P21" i="1"/>
  <c r="J21" i="1"/>
  <c r="P20" i="1"/>
  <c r="J20" i="1"/>
  <c r="P19" i="1"/>
  <c r="J19" i="1"/>
  <c r="P18" i="1"/>
  <c r="J18" i="1"/>
  <c r="P17" i="1"/>
  <c r="J17" i="1"/>
  <c r="P16" i="1"/>
  <c r="J16" i="1"/>
  <c r="P15" i="1"/>
  <c r="J15" i="1"/>
  <c r="P14" i="1"/>
  <c r="J14" i="1"/>
  <c r="P13" i="1"/>
  <c r="J13" i="1"/>
  <c r="P12" i="1"/>
  <c r="J12" i="1"/>
  <c r="P11" i="1"/>
  <c r="J11" i="1"/>
  <c r="P10" i="1"/>
  <c r="J10" i="1"/>
  <c r="P9" i="1"/>
  <c r="J9" i="1"/>
  <c r="P8" i="1"/>
  <c r="J8" i="1"/>
  <c r="P7" i="1"/>
  <c r="J7" i="1"/>
  <c r="P6" i="1"/>
  <c r="J6" i="1"/>
  <c r="P5" i="1"/>
  <c r="J5" i="1"/>
  <c r="P4" i="1"/>
  <c r="J4" i="1"/>
  <c r="P3" i="1"/>
  <c r="J3" i="1"/>
  <c r="P2" i="1"/>
  <c r="J2" i="1"/>
  <c r="J12" i="5"/>
  <c r="J11" i="5"/>
  <c r="J10" i="5"/>
  <c r="J9" i="5"/>
  <c r="J8" i="5"/>
  <c r="J7" i="5"/>
  <c r="J6" i="5"/>
  <c r="J5" i="5"/>
  <c r="J4" i="5"/>
  <c r="J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C812A3-7C8E-4A25-B72E-DA3FF88C66DB}" name="Excel Tesla_Social_Media_Analytics" type="100" refreshedVersion="0">
    <extLst>
      <ext xmlns:x15="http://schemas.microsoft.com/office/spreadsheetml/2010/11/main" uri="{DE250136-89BD-433C-8126-D09CA5730AF9}">
        <x15:connection id="663fc22c-9953-4735-8748-46fab3fe2d58"/>
      </ext>
    </extLst>
  </connection>
  <connection id="2" xr16:uid="{D7CF1C3B-0FB2-4F38-809A-63C8397E2FFA}" name="Query - Table3" description="Connection to the 'Table3' query in the workbook." type="100" refreshedVersion="7" minRefreshableVersion="5">
    <extLst>
      <ext xmlns:x15="http://schemas.microsoft.com/office/spreadsheetml/2010/11/main" uri="{DE250136-89BD-433C-8126-D09CA5730AF9}">
        <x15:connection id="fa959128-47ad-4736-9972-f426c3ec65c9"/>
      </ext>
    </extLst>
  </connection>
  <connection id="3" xr16:uid="{3EE61170-B455-495D-A205-155865D9FF17}" keepAlive="1" name="ThisWorkbookDataModel" description="Data Model" type="5" refreshedVersion="7" minRefreshableVersion="5" background="1">
    <dbPr connection="Data Model Connection" command="Model" commandType="1"/>
    <olapPr sendLocale="1" rowDrillCount="1000"/>
    <extLst>
      <ext xmlns:x14="http://schemas.microsoft.com/office/spreadsheetml/2009/9/main" uri="{D79990A0-CA42-45e3-83F4-45C500A0EAA5}">
        <x14:connection culture="" embeddedDataId="">
          <x14:calculatedMembers count="1">
            <calculatedMember name="[Set1]" mdx="{([Measures].[Sum of New_Followers]),([Measures].[Sum of Unfollows])}" set="1">
              <extLst>
                <ext xmlns:x14="http://schemas.microsoft.com/office/spreadsheetml/2009/9/main" uri="{0C70D0D5-359C-4a49-802D-23BBF952B5CE}">
                  <x14:calculatedMember flattenHierarchies="0" hierarchizeDistinct="0">
                    <x14:tupleSet rowCount="2">
                      <x14:headers>
                        <x14:header/>
                      </x14:headers>
                      <x14:rows>
                        <x14:row>
                          <x14:rowItem u="[Measures].[Sum of New_Followers]" d="Sum of New_Followers"/>
                        </x14:row>
                        <x14:row>
                          <x14:rowItem u="[Measures].[Sum of Unfollows]" d="Sum of Unfollows"/>
                        </x14:row>
                      </x14:rows>
                    </x14:tupleSet>
                  </x14:calculatedMember>
                </ext>
              </extLst>
            </calculatedMember>
          </x14:calculatedMembers>
        </x14:connection>
      </ex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<sst xmlns="http://schemas.openxmlformats.org/spreadsheetml/2006/main" count="3766" uniqueCount="702">
  <si>
    <t>Post ID</t>
  </si>
  <si>
    <t>Platform</t>
  </si>
  <si>
    <t>Date</t>
  </si>
  <si>
    <t>Content Type</t>
  </si>
  <si>
    <t>Post Text</t>
  </si>
  <si>
    <t>Likes</t>
  </si>
  <si>
    <t>Shares</t>
  </si>
  <si>
    <t>Comments</t>
  </si>
  <si>
    <t>Impressions</t>
  </si>
  <si>
    <t>Reach</t>
  </si>
  <si>
    <t>Clicks</t>
  </si>
  <si>
    <t>Campaign_Name</t>
  </si>
  <si>
    <t>P001</t>
  </si>
  <si>
    <t>Twitter</t>
  </si>
  <si>
    <t>2024-12-23</t>
  </si>
  <si>
    <t>Reel</t>
  </si>
  <si>
    <t>Check out our latest reel on twitter!</t>
  </si>
  <si>
    <t>#FutureOfDriving,#AnytimeIsTeslaTime</t>
  </si>
  <si>
    <t>CybertruckLaunch</t>
  </si>
  <si>
    <t>P002</t>
  </si>
  <si>
    <t>2025-04-03</t>
  </si>
  <si>
    <t>Text</t>
  </si>
  <si>
    <t>Check out our latest text on twitter!</t>
  </si>
  <si>
    <t>#TeslaCoInnovation,#BetterWithTesla</t>
  </si>
  <si>
    <t>ModelYCampaign</t>
  </si>
  <si>
    <t>P003</t>
  </si>
  <si>
    <t>YouTube</t>
  </si>
  <si>
    <t>2025-05-12</t>
  </si>
  <si>
    <t>Check out our latest reel on youtube!</t>
  </si>
  <si>
    <t>#TeslaCoInnovation</t>
  </si>
  <si>
    <t>FSDUpdate</t>
  </si>
  <si>
    <t>P004</t>
  </si>
  <si>
    <t>Instagram</t>
  </si>
  <si>
    <t>2024-08-12</t>
  </si>
  <si>
    <t>Story</t>
  </si>
  <si>
    <t>Check out our latest story on instagram!</t>
  </si>
  <si>
    <t>#EVRevolution</t>
  </si>
  <si>
    <t>SustainabilityDrive</t>
  </si>
  <si>
    <t>P005</t>
  </si>
  <si>
    <t>2024-06-26</t>
  </si>
  <si>
    <t>#EVRevolution,#TeslaCoInnovation</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</si>
  <si>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</si>
  <si>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</si>
  <si>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</si>
  <si>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</si>
  <si>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</si>
  <si>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</si>
  <si>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</si>
  <si>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</si>
  <si>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</si>
  <si>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</si>
  <si>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</si>
  <si>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</si>
  <si>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</si>
  <si>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</si>
  <si>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</si>
  <si>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</si>
  <si>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</si>
  <si>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</si>
  <si>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</si>
  <si>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</si>
  <si>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#FutureOfDriving</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</si>
  <si>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</si>
  <si>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</si>
  <si>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</si>
  <si>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</si>
  <si>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</si>
  <si>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</si>
  <si>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</si>
  <si>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</si>
  <si>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</si>
  <si>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</si>
  <si>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</si>
  <si>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</si>
  <si>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</si>
  <si>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</si>
  <si>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</si>
  <si>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</si>
  <si>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</si>
  <si>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</si>
  <si>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</si>
  <si>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</si>
  <si>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</si>
  <si>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</si>
  <si>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</si>
  <si>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</si>
  <si>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</si>
  <si>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</si>
  <si>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</si>
  <si>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</si>
  <si>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</si>
  <si>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</si>
  <si>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</si>
  <si>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</si>
  <si>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#TeslaCoInnovation,#AnytimeIsTeslaTime</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</si>
  <si>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</si>
  <si>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</si>
  <si>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</si>
  <si>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</si>
  <si>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</si>
  <si>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</si>
  <si>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</si>
  <si>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</si>
  <si>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</si>
  <si>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</si>
  <si>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</si>
  <si>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</si>
  <si>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</si>
  <si>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</si>
  <si>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</si>
  <si>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</si>
  <si>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</si>
  <si>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</si>
  <si>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</si>
  <si>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</si>
  <si>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</si>
  <si>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</si>
  <si>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</si>
  <si>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</si>
  <si>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</si>
  <si>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</si>
  <si>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</si>
  <si>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</si>
  <si>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</si>
  <si>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</si>
  <si>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</si>
  <si>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</si>
  <si>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</si>
  <si>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</si>
  <si>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</si>
  <si>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</si>
  <si>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</si>
  <si>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</si>
  <si>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</si>
  <si>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</si>
  <si>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</si>
  <si>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</si>
  <si>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</si>
  <si>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</si>
  <si>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</si>
  <si>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</si>
  <si>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</si>
  <si>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</si>
  <si>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</si>
  <si>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</si>
  <si>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</si>
  <si>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</si>
  <si>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</si>
  <si>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</si>
  <si>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</si>
  <si>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</si>
  <si>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</si>
  <si>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</si>
  <si>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</si>
  <si>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</si>
  <si>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</si>
  <si>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</si>
  <si>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</si>
  <si>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</si>
  <si>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#EVRevolution,#BetterWithTesla</t>
  </si>
  <si>
    <t>P054</t>
  </si>
  <si>
    <t>2025-03-13</t>
  </si>
  <si>
    <t>P055</t>
  </si>
  <si>
    <t>2024-06-17</t>
  </si>
  <si>
    <t>P056</t>
  </si>
  <si>
    <t>2024-12-18</t>
  </si>
  <si>
    <t>P057</t>
  </si>
  <si>
    <t>2024-10-21</t>
  </si>
  <si>
    <t>P058</t>
  </si>
  <si>
    <t>2025-04-15</t>
  </si>
  <si>
    <t>P059</t>
  </si>
  <si>
    <t>2024-06-22</t>
  </si>
  <si>
    <t>P060</t>
  </si>
  <si>
    <t>2025-01-28</t>
  </si>
  <si>
    <t>#EVRevolution,#TeslaCoInnovation,#AnytimeIsTeslaTime</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</si>
  <si>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</si>
  <si>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</si>
  <si>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</si>
  <si>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</si>
  <si>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</si>
  <si>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</si>
  <si>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</si>
  <si>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</si>
  <si>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</si>
  <si>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</si>
  <si>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</si>
  <si>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</si>
  <si>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</si>
  <si>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</si>
  <si>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</si>
  <si>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</si>
  <si>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</si>
  <si>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</si>
  <si>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</si>
  <si>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</si>
  <si>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</si>
  <si>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</si>
  <si>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</si>
  <si>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</si>
  <si>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</si>
  <si>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</si>
  <si>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</si>
  <si>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</si>
  <si>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</si>
  <si>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</si>
  <si>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</si>
  <si>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</si>
  <si>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</si>
  <si>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</si>
  <si>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</si>
  <si>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</si>
  <si>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</si>
  <si>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</si>
  <si>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</si>
  <si>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</si>
  <si>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#FutureOfDriving,#TeslaCoInnovation,#AnytimeIsTeslaTime</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</si>
  <si>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</si>
  <si>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</si>
  <si>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</si>
  <si>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</si>
  <si>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</si>
  <si>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</si>
  <si>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</si>
  <si>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</si>
  <si>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</si>
  <si>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</si>
  <si>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</si>
  <si>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</si>
  <si>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</si>
  <si>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</si>
  <si>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</si>
  <si>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</si>
  <si>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</si>
  <si>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</si>
  <si>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</si>
  <si>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</si>
  <si>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</si>
  <si>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</si>
  <si>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</si>
  <si>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</si>
  <si>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</si>
  <si>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</si>
  <si>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</si>
  <si>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</si>
  <si>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</si>
  <si>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</si>
  <si>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</si>
  <si>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</si>
  <si>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</si>
  <si>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</si>
  <si>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</si>
  <si>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</si>
  <si>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</si>
  <si>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</si>
  <si>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</si>
  <si>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</si>
  <si>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</si>
  <si>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</si>
  <si>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</si>
  <si>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</si>
  <si>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</si>
  <si>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</si>
  <si>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</si>
  <si>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</si>
  <si>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</si>
  <si>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</si>
  <si>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</si>
  <si>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</si>
  <si>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</si>
  <si>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</si>
  <si>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</si>
  <si>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</si>
  <si>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</si>
  <si>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</si>
  <si>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</si>
  <si>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</si>
  <si>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</si>
  <si>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</si>
  <si>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</si>
  <si>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</si>
  <si>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</si>
  <si>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</si>
  <si>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</si>
  <si>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</si>
  <si>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</si>
  <si>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</si>
  <si>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</si>
  <si>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</si>
  <si>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</si>
  <si>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</si>
  <si>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</si>
  <si>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</si>
  <si>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</si>
  <si>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</si>
  <si>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</si>
  <si>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</si>
  <si>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</si>
  <si>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</si>
  <si>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</si>
  <si>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</si>
  <si>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</si>
  <si>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</si>
  <si>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</si>
  <si>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</si>
  <si>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</si>
  <si>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</si>
  <si>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</si>
  <si>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</si>
  <si>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</si>
  <si>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</si>
  <si>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</si>
  <si>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</si>
  <si>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</si>
  <si>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</si>
  <si>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</si>
  <si>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#EVRevolution,#SmoothLikeNitroTesla</t>
  </si>
  <si>
    <t>P141</t>
  </si>
  <si>
    <t>2024-08-31</t>
  </si>
  <si>
    <t>P142</t>
  </si>
  <si>
    <t>P143</t>
  </si>
  <si>
    <t>P144</t>
  </si>
  <si>
    <t>P145</t>
  </si>
  <si>
    <t>P146</t>
  </si>
  <si>
    <t>2024-06-05</t>
  </si>
  <si>
    <t>#EVRevolution,#AnytimeIsTeslaTime</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</si>
  <si>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</si>
  <si>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</si>
  <si>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</si>
  <si>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</si>
  <si>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</si>
  <si>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</si>
  <si>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</si>
  <si>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</si>
  <si>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</si>
  <si>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</si>
  <si>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</si>
  <si>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</si>
  <si>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</si>
  <si>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</si>
  <si>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</si>
  <si>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</si>
  <si>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</si>
  <si>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</si>
  <si>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</si>
  <si>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</si>
  <si>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</si>
  <si>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</si>
  <si>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</si>
  <si>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</si>
  <si>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</si>
  <si>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</si>
  <si>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</si>
  <si>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</si>
  <si>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</si>
  <si>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</si>
  <si>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</si>
  <si>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</si>
  <si>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</si>
  <si>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</si>
  <si>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</si>
  <si>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</si>
  <si>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</si>
  <si>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</si>
  <si>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</si>
  <si>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</si>
  <si>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</si>
  <si>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</si>
  <si>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</si>
  <si>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</si>
  <si>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</si>
  <si>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</si>
  <si>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</si>
  <si>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</si>
  <si>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</si>
  <si>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</si>
  <si>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</si>
  <si>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</si>
  <si>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</si>
  <si>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</si>
  <si>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</si>
  <si>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</si>
  <si>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</si>
  <si>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</si>
  <si>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</si>
  <si>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</si>
  <si>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</si>
  <si>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</si>
  <si>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</si>
  <si>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</si>
  <si>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</si>
  <si>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</si>
  <si>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</si>
  <si>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</si>
  <si>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</si>
  <si>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</si>
  <si>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</si>
  <si>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</si>
  <si>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</si>
  <si>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</si>
  <si>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</si>
  <si>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</si>
  <si>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</si>
  <si>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</si>
  <si>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</si>
  <si>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</si>
  <si>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</si>
  <si>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</si>
  <si>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</si>
  <si>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</si>
  <si>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</si>
  <si>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</si>
  <si>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</si>
  <si>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</si>
  <si>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</si>
  <si>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</si>
  <si>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</si>
  <si>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</si>
  <si>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</si>
  <si>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</si>
  <si>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</si>
  <si>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#TeslaCoInnovation,#SmoothLikeNitroTesla</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</si>
  <si>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</si>
  <si>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</si>
  <si>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</si>
  <si>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</si>
  <si>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</si>
  <si>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</si>
  <si>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</si>
  <si>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</si>
  <si>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</si>
  <si>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</si>
  <si>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</si>
  <si>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</si>
  <si>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</si>
  <si>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</si>
  <si>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</si>
  <si>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</si>
  <si>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</si>
  <si>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</si>
  <si>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</si>
  <si>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</si>
  <si>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</si>
  <si>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</si>
  <si>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</si>
  <si>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#FutureOfDriving,#SmoothLikeNitroTesla</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</si>
  <si>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</si>
  <si>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</si>
  <si>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</si>
  <si>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</si>
  <si>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</si>
  <si>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</si>
  <si>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</si>
  <si>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</si>
  <si>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</si>
  <si>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</si>
  <si>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</si>
  <si>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</si>
  <si>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</si>
  <si>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</si>
  <si>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</si>
  <si>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</si>
  <si>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</si>
  <si>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</si>
  <si>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</si>
  <si>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</si>
  <si>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#FutureOfDriving,#AnytimeIsTeslaTime,#EVRevolution</t>
  </si>
  <si>
    <t>P237</t>
  </si>
  <si>
    <t>P238</t>
  </si>
  <si>
    <t>2024-07-16</t>
  </si>
  <si>
    <t>P239</t>
  </si>
  <si>
    <t>P240</t>
  </si>
  <si>
    <t>P241</t>
  </si>
  <si>
    <t>2025-01-18</t>
  </si>
  <si>
    <t>P242</t>
  </si>
  <si>
    <t>P243</t>
  </si>
  <si>
    <t>2025-03-06</t>
  </si>
  <si>
    <t>P244</t>
  </si>
  <si>
    <t>2024-10-25</t>
  </si>
  <si>
    <t>P245</t>
  </si>
  <si>
    <t>2025-01-12</t>
  </si>
  <si>
    <t>P246</t>
  </si>
  <si>
    <t>2024-10-11</t>
  </si>
  <si>
    <t>P247</t>
  </si>
  <si>
    <t>2024-08-27</t>
  </si>
  <si>
    <t>#FutureOfDriving,#EVRevolution,#BetterWithTesla</t>
  </si>
  <si>
    <t>P248</t>
  </si>
  <si>
    <t>P249</t>
  </si>
  <si>
    <t>P250</t>
  </si>
  <si>
    <t>P251</t>
  </si>
  <si>
    <t>2025-03-27</t>
  </si>
  <si>
    <t>P252</t>
  </si>
  <si>
    <t>P253</t>
  </si>
  <si>
    <t>2024-08-03</t>
  </si>
  <si>
    <t>P254</t>
  </si>
  <si>
    <t>2025-01-14</t>
  </si>
  <si>
    <t>P255</t>
  </si>
  <si>
    <t>P256</t>
  </si>
  <si>
    <t>P257</t>
  </si>
  <si>
    <t>#EVRevolution,#EVRevolution,#BetterWithTesla</t>
  </si>
  <si>
    <t>P258</t>
  </si>
  <si>
    <t>2024-08-05</t>
  </si>
  <si>
    <t>P259</t>
  </si>
  <si>
    <t>P260</t>
  </si>
  <si>
    <t>2025-02-12</t>
  </si>
  <si>
    <t>#TeslaCoInnovation,#EVRevolution,#BetterWithTesla</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</si>
  <si>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</si>
  <si>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</si>
  <si>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</si>
  <si>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</si>
  <si>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</si>
  <si>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</si>
  <si>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</si>
  <si>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</si>
  <si>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</si>
  <si>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</si>
  <si>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</si>
  <si>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</si>
  <si>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</si>
  <si>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</si>
  <si>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</si>
  <si>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</si>
  <si>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</si>
  <si>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</si>
  <si>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</si>
  <si>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</si>
  <si>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</si>
  <si>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</si>
  <si>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</si>
  <si>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</si>
  <si>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</si>
  <si>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</si>
  <si>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</si>
  <si>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</si>
  <si>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</si>
  <si>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</si>
  <si>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</si>
  <si>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</si>
  <si>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</si>
  <si>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</si>
  <si>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</si>
  <si>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</si>
  <si>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</si>
  <si>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</si>
  <si>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</si>
  <si>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</si>
  <si>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</si>
  <si>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</si>
  <si>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</si>
  <si>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</si>
  <si>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</si>
  <si>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</si>
  <si>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</si>
  <si>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</si>
  <si>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</si>
  <si>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</si>
  <si>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</si>
  <si>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</si>
  <si>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</si>
  <si>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</si>
  <si>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</si>
  <si>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</si>
  <si>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</si>
  <si>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</si>
  <si>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</si>
  <si>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</si>
  <si>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</si>
  <si>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</si>
  <si>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</si>
  <si>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</si>
  <si>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</si>
  <si>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</si>
  <si>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</si>
  <si>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</si>
  <si>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</si>
  <si>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</si>
  <si>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</si>
  <si>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</si>
  <si>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</si>
  <si>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</si>
  <si>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</si>
  <si>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</si>
  <si>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</si>
  <si>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</si>
  <si>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</si>
  <si>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</si>
  <si>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</si>
  <si>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</si>
  <si>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</si>
  <si>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</si>
  <si>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</si>
  <si>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Start_Date</t>
  </si>
  <si>
    <t>End_Date</t>
  </si>
  <si>
    <t>Objective</t>
  </si>
  <si>
    <t>Total_Budget</t>
  </si>
  <si>
    <t>Target_Platforms</t>
  </si>
  <si>
    <t>Primary_Hashtags</t>
  </si>
  <si>
    <t>Product Awareness</t>
  </si>
  <si>
    <t>Instagram,Facebook</t>
  </si>
  <si>
    <t>Customer Engagement</t>
  </si>
  <si>
    <t>Instagram,YouTube</t>
  </si>
  <si>
    <t>#AnytimeIsTeslaTime,</t>
  </si>
  <si>
    <t>Vehicle Launch</t>
  </si>
  <si>
    <t>Facebook,Twitter</t>
  </si>
  <si>
    <t>#SmoothLikeNitroTesla</t>
  </si>
  <si>
    <t>Community Growth</t>
  </si>
  <si>
    <t>Instagram,Twitter</t>
  </si>
  <si>
    <t>#BetterWithTesla,#FutureOfDriving</t>
  </si>
  <si>
    <t>Hashtags</t>
  </si>
  <si>
    <t>#AnytimeIsTeslaTime</t>
  </si>
  <si>
    <t>#BetterWithTesla</t>
  </si>
  <si>
    <t>null</t>
  </si>
  <si>
    <t>Individual Hashtags</t>
  </si>
  <si>
    <t>Engagement Rate</t>
  </si>
  <si>
    <t>Row Labels</t>
  </si>
  <si>
    <t>(blank)</t>
  </si>
  <si>
    <t>Grand Total</t>
  </si>
  <si>
    <t>Sum of Likes</t>
  </si>
  <si>
    <t>Sum of Shares</t>
  </si>
  <si>
    <t>Sum of Comments</t>
  </si>
  <si>
    <t>::Total Likes, Shares, Comments by Content Type &amp; Platform</t>
  </si>
  <si>
    <t>::Average Clicks per post by Hashtag</t>
  </si>
  <si>
    <t>Sum of Clicks</t>
  </si>
  <si>
    <t>Average of Clicks</t>
  </si>
  <si>
    <t>Average of Engagement Rate</t>
  </si>
  <si>
    <t>Count of Individual Hashtags</t>
  </si>
  <si>
    <t>::Most frequently used Tesla hashtags.</t>
  </si>
  <si>
    <t>Sum of Impressions</t>
  </si>
  <si>
    <t>Average of Impressions</t>
  </si>
  <si>
    <t>::Total Impressions, Likes, Clicks per Campaign.</t>
  </si>
  <si>
    <t>:: Average Impressions, Likes, Clicks per Campaign.</t>
  </si>
  <si>
    <t>Average of Likes</t>
  </si>
  <si>
    <t>::Top-Performing Hashtags</t>
  </si>
  <si>
    <t>Growth Rate</t>
  </si>
  <si>
    <t>Average of Growth Rate</t>
  </si>
  <si>
    <t>::Follower growth rates across platforms</t>
  </si>
  <si>
    <t>Sum of Reach</t>
  </si>
  <si>
    <t>::Comparing  content performance:  Videos ,  Images and Carousels</t>
  </si>
  <si>
    <t>Average of Reach</t>
  </si>
  <si>
    <t>Facebook Total</t>
  </si>
  <si>
    <t>Instagram Total</t>
  </si>
  <si>
    <t>Twitter Total</t>
  </si>
  <si>
    <t>YouTube Total</t>
  </si>
  <si>
    <t>(blank) Total</t>
  </si>
  <si>
    <t>::Content type priorities per platform</t>
  </si>
  <si>
    <t>::Top 10 Tesla posts with highest engagement</t>
  </si>
  <si>
    <t>Column Labels</t>
  </si>
  <si>
    <t>::Average performance of posts containing each hashtag</t>
  </si>
  <si>
    <t>Engagement</t>
  </si>
  <si>
    <t>::Platform with highest engagement</t>
  </si>
  <si>
    <t>::Engagement vs. Ad Spend per platform</t>
  </si>
  <si>
    <t>Average of Ad_Spend</t>
  </si>
  <si>
    <t xml:space="preserve"> Engagement Rate</t>
  </si>
  <si>
    <t>Uplift %</t>
  </si>
  <si>
    <t>Baseline Avg(Pre-Campaign)</t>
  </si>
  <si>
    <t>Campaign Avg(During)</t>
  </si>
  <si>
    <t>Sum of Baseline Avg(Pre-Campaign)</t>
  </si>
  <si>
    <t>Sum of Campaign Avg(During)</t>
  </si>
  <si>
    <t>::Engagement uplift during vs. before campaigns</t>
  </si>
  <si>
    <t>Sum of New_Followers</t>
  </si>
  <si>
    <t>::Peak week of follower gain.</t>
  </si>
  <si>
    <t>::Weekly follower growth per platform (line chart)</t>
  </si>
  <si>
    <t>Engagement Volume</t>
  </si>
  <si>
    <t>Sum of Engagement Volume</t>
  </si>
  <si>
    <t>Sum of Ad_Spend</t>
  </si>
  <si>
    <t>(All)</t>
  </si>
  <si>
    <t>Column1</t>
  </si>
  <si>
    <t>Sum of ROI</t>
  </si>
  <si>
    <t>&lt;03-06-2024</t>
  </si>
  <si>
    <t>2024</t>
  </si>
  <si>
    <t>2025</t>
  </si>
  <si>
    <t>Sum of Engagement_Rate</t>
  </si>
  <si>
    <t>Average of Engagement</t>
  </si>
  <si>
    <t>Should Tesla focus on Twitter + YouTube (product announcements + demos) or maintain a multi-platform strategy?</t>
  </si>
  <si>
    <t>Instagram and Twitter provide higher engagement efficiency</t>
  </si>
  <si>
    <t>Facebook generates the highest engagement but at higher cost</t>
  </si>
  <si>
    <t>YouTube shows lower engagement despite significant ad spend</t>
  </si>
  <si>
    <t>Campaigns significantly improve engagement rates</t>
  </si>
  <si>
    <t>Sustainability-focused campaigns drive strong follower growth</t>
  </si>
  <si>
    <t>Innovation-related hashtags perform best</t>
  </si>
  <si>
    <t>Focus on Instagram and Twitter for cost-effective engagement</t>
  </si>
  <si>
    <t>Optimize YouTube content strategy instead of increasing ad spend</t>
  </si>
  <si>
    <t>Leverage campaign-based marketing for engagement spikes</t>
  </si>
  <si>
    <t>Use high-performing hashtags consistently</t>
  </si>
  <si>
    <t>Invest in sustainability and innovation messaging</t>
  </si>
  <si>
    <t>Key Insights::</t>
  </si>
  <si>
    <t>Recommendations::</t>
  </si>
  <si>
    <t>Based on the previous analysis, the most effective approach for Tesla would be to maintain a multi-platform strategy, but with specific roles assigned to each channel based on their clear performance strengths.</t>
  </si>
  <si>
    <t>:Facebook has the highest "Average of Engagement", making it the most reliable for overall interaction volume.</t>
  </si>
  <si>
    <t xml:space="preserve"> :Twitter leads with a growth rate of 0.009280. It is best engine for expanding the brand's reach and building a new audience.</t>
  </si>
  <si>
    <t>​Each platform is currently winning in a different categories.</t>
  </si>
  <si>
    <t>:Instagram holds the highest "Sum of Engagement Rate" .     While Facebook has volume, Instagram has the most "active" interest relative to the audience size.</t>
  </si>
  <si>
    <t>:Twitter is for Growth</t>
  </si>
  <si>
    <t>:​Facebook is for Efficiency</t>
  </si>
  <si>
    <t>:​Instagram is for Quality .</t>
  </si>
  <si>
    <t>:​YouTube is the "Middle Ground": YouTube shows consistent performance across growth and engagement.</t>
  </si>
  <si>
    <t>::Using moving averages to smooth growth trends.</t>
  </si>
  <si>
    <t>Campaign Name</t>
  </si>
  <si>
    <t>No Campaign</t>
  </si>
  <si>
    <t>::Campaign that drove the strongest follower growth</t>
  </si>
  <si>
    <t>::Highest ROI</t>
  </si>
  <si>
    <t>LINK::</t>
  </si>
  <si>
    <t>https://drive.google.com/file/d/12SKJ4mV9gP7PGR89uggSEKEkzluKuAwQ/view?usp=sharing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</si>
</sst>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 #,##0_ ;_ * \-#,##0_ ;_ * &quot;-&quot;??_ ;_ @_ "/>
    <numFmt numFmtId="165" formatCode="0.00000"/>
    <numFmt numFmtId="166" formatCode="0.0000"/>
    <numFmt numFmtId="167" formatCode="0.000%"/>
    <numFmt numFmtId="168" formatCode="0.000000"/>
    <numFmt numFmtId="169" formatCode="0.0000000"/>
    <numFmt numFmtId="170" formatCode="0.000000000000000000"/>
  </numFmts>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sz val="11"/>
      <color theme="1" tint="4.9989318521683403E-2"/>
      <name val="Calibri"/>
      <family val="2"/>
      <scheme val="minor"/>
    </font>
    <font>
      <i/>
      <sz val="11"/>
      <color theme="1"/>
      <name val="Calibri"/>
      <family val="2"/>
      <scheme val="minor"/>
    </font>
    <font>
      <b/>
      <u/>
      <sz val="11"/>
      <color theme="1"/>
      <name val="Calibri"/>
      <family val="2"/>
      <scheme val="minor"/>
    </font>
    <font>
      <u/>
      <sz val="11"/>
      <color theme="10"/>
      <name val="Calibri"/>
      <scheme val="minor"/>
    </font>
    <font>
      <sz val="24"/>
      <color theme="1"/>
      <name val="Calibri"/>
      <family val="2"/>
      <scheme val="minor"/>
    </font>
  </fonts>
  <fills count="12">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style="thin">
        <color rgb="FF000000"/>
      </left>
      <right style="thin">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9" fillId="0" borderId="0" applyNumberFormat="0" applyFill="0" applyBorder="0" applyAlignment="0" applyProtection="0"/>
  </cellStyleXfs>
  <cellXfs count="159">
    <xf numFmtId="0" fontId="0" fillId="0" borderId="0" xfId="0" applyFont="1" applyAlignment="1"/>
    <xf numFmtId="0" fontId="3" fillId="0" borderId="1" xfId="0" applyFont="1" applyBorder="1" applyAlignment="1">
      <alignment horizontal="center" vertical="top"/>
    </xf>
    <xf numFmtId="0" fontId="4" fillId="0" borderId="0" xfId="0" applyFont="1"/>
    <xf numFmtId="14" fontId="3" fillId="0" borderId="1" xfId="0" applyNumberFormat="1" applyFont="1" applyBorder="1" applyAlignment="1">
      <alignment horizontal="center" vertical="top"/>
    </xf>
    <xf numFmtId="14" fontId="4" fillId="0" borderId="0" xfId="0" applyNumberFormat="1" applyFont="1"/>
    <xf numFmtId="14" fontId="0" fillId="0" borderId="0" xfId="0" applyNumberFormat="1" applyFont="1" applyAlignment="1"/>
    <xf numFmtId="164" fontId="3" fillId="0" borderId="1" xfId="1" applyNumberFormat="1" applyFont="1" applyBorder="1" applyAlignment="1">
      <alignment horizontal="center" vertical="top"/>
    </xf>
    <xf numFmtId="164" fontId="4" fillId="0" borderId="0" xfId="1" applyNumberFormat="1" applyFont="1"/>
    <xf numFmtId="164" fontId="0" fillId="0" borderId="0" xfId="1" applyNumberFormat="1" applyFont="1" applyAlignment="1"/>
    <xf numFmtId="0" fontId="3" fillId="0" borderId="2" xfId="0" applyFont="1" applyBorder="1" applyAlignment="1">
      <alignment horizontal="center" vertical="top"/>
    </xf>
    <xf numFmtId="0" fontId="0" fillId="0" borderId="0" xfId="0" applyNumberFormat="1" applyFont="1" applyAlignment="1"/>
    <xf numFmtId="165" fontId="5" fillId="0" borderId="1" xfId="2" applyNumberFormat="1" applyFont="1" applyBorder="1" applyAlignment="1">
      <alignment horizontal="center" vertical="top"/>
    </xf>
    <xf numFmtId="165" fontId="4" fillId="0" borderId="0" xfId="2" applyNumberFormat="1" applyFont="1"/>
    <xf numFmtId="165" fontId="0" fillId="0" borderId="0" xfId="2" applyNumberFormat="1" applyFont="1" applyAlignment="1"/>
    <xf numFmtId="0" fontId="0" fillId="0" borderId="6" xfId="0" pivotButton="1" applyFont="1" applyBorder="1" applyAlignment="1"/>
    <xf numFmtId="0" fontId="0" fillId="0" borderId="0" xfId="0" applyFont="1" applyBorder="1" applyAlignment="1"/>
    <xf numFmtId="0" fontId="0" fillId="0" borderId="7" xfId="0" applyFont="1" applyBorder="1" applyAlignment="1"/>
    <xf numFmtId="0" fontId="0" fillId="0" borderId="6" xfId="0" applyFont="1" applyBorder="1" applyAlignment="1">
      <alignment horizontal="left"/>
    </xf>
    <xf numFmtId="0" fontId="0" fillId="0" borderId="0" xfId="0" applyNumberFormat="1" applyFont="1" applyBorder="1" applyAlignment="1"/>
    <xf numFmtId="0" fontId="0" fillId="0" borderId="7" xfId="0" applyNumberFormat="1" applyFont="1" applyBorder="1" applyAlignment="1"/>
    <xf numFmtId="0" fontId="0" fillId="0" borderId="6" xfId="0" applyFont="1" applyBorder="1" applyAlignment="1">
      <alignment horizontal="left" indent="1"/>
    </xf>
    <xf numFmtId="0" fontId="0" fillId="0" borderId="8" xfId="0" applyFont="1" applyBorder="1" applyAlignment="1">
      <alignment horizontal="left"/>
    </xf>
    <xf numFmtId="0" fontId="0" fillId="0" borderId="9" xfId="0" applyNumberFormat="1" applyFont="1" applyBorder="1" applyAlignment="1"/>
    <xf numFmtId="0" fontId="0" fillId="0" borderId="10" xfId="0" applyNumberFormat="1" applyFont="1" applyBorder="1" applyAlignment="1"/>
    <xf numFmtId="0" fontId="4" fillId="0" borderId="0" xfId="0" applyFont="1" applyBorder="1"/>
    <xf numFmtId="14" fontId="4" fillId="0" borderId="0" xfId="0" applyNumberFormat="1" applyFont="1" applyBorder="1"/>
    <xf numFmtId="164" fontId="4" fillId="0" borderId="0" xfId="1" applyNumberFormat="1" applyFont="1" applyBorder="1"/>
    <xf numFmtId="165" fontId="4" fillId="0" borderId="0" xfId="2" applyNumberFormat="1" applyFont="1" applyBorder="1"/>
    <xf numFmtId="0" fontId="3" fillId="0" borderId="11" xfId="0" applyFont="1" applyBorder="1" applyAlignment="1">
      <alignment horizontal="center" vertical="top"/>
    </xf>
    <xf numFmtId="0" fontId="3" fillId="0" borderId="12" xfId="0" applyFont="1" applyBorder="1" applyAlignment="1">
      <alignment horizontal="center" vertical="top"/>
    </xf>
    <xf numFmtId="14" fontId="3" fillId="0" borderId="12" xfId="0" applyNumberFormat="1" applyFont="1" applyBorder="1" applyAlignment="1">
      <alignment horizontal="center" vertical="top"/>
    </xf>
    <xf numFmtId="164" fontId="3" fillId="0" borderId="12" xfId="1" applyNumberFormat="1" applyFont="1" applyBorder="1" applyAlignment="1">
      <alignment horizontal="center" vertical="top"/>
    </xf>
    <xf numFmtId="165" fontId="5" fillId="0" borderId="12" xfId="2" applyNumberFormat="1" applyFont="1" applyBorder="1" applyAlignment="1">
      <alignment horizontal="center" vertical="top"/>
    </xf>
    <xf numFmtId="164" fontId="3" fillId="0" borderId="13" xfId="1" applyNumberFormat="1" applyFont="1" applyBorder="1" applyAlignment="1">
      <alignment horizontal="center" vertical="top"/>
    </xf>
    <xf numFmtId="0" fontId="4" fillId="0" borderId="14" xfId="0" applyFont="1" applyBorder="1"/>
    <xf numFmtId="164" fontId="4" fillId="0" borderId="15" xfId="1" applyNumberFormat="1" applyFont="1" applyBorder="1"/>
    <xf numFmtId="0" fontId="4" fillId="0" borderId="16" xfId="0" applyFont="1" applyBorder="1"/>
    <xf numFmtId="0" fontId="4" fillId="0" borderId="17" xfId="0" applyFont="1" applyBorder="1"/>
    <xf numFmtId="14" fontId="4" fillId="0" borderId="17" xfId="0" applyNumberFormat="1" applyFont="1" applyBorder="1"/>
    <xf numFmtId="164" fontId="4" fillId="0" borderId="17" xfId="1" applyNumberFormat="1" applyFont="1" applyBorder="1"/>
    <xf numFmtId="165" fontId="4" fillId="0" borderId="17" xfId="2" applyNumberFormat="1" applyFont="1" applyBorder="1"/>
    <xf numFmtId="164" fontId="4" fillId="0" borderId="18" xfId="1" applyNumberFormat="1" applyFont="1" applyBorder="1"/>
    <xf numFmtId="0" fontId="3" fillId="0" borderId="19"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10" fontId="0" fillId="0" borderId="0" xfId="0" applyNumberFormat="1" applyFont="1" applyAlignment="1"/>
    <xf numFmtId="167" fontId="5" fillId="0" borderId="20" xfId="2" applyNumberFormat="1" applyFont="1" applyFill="1" applyBorder="1" applyAlignment="1">
      <alignment horizontal="center" vertical="top"/>
    </xf>
    <xf numFmtId="167" fontId="0" fillId="0" borderId="0" xfId="2" applyNumberFormat="1" applyFont="1" applyAlignment="1"/>
    <xf numFmtId="166" fontId="0" fillId="0" borderId="0" xfId="0" applyNumberFormat="1" applyFont="1" applyAlignment="1"/>
    <xf numFmtId="0" fontId="5" fillId="0" borderId="0" xfId="0" applyFont="1" applyAlignment="1"/>
    <xf numFmtId="0" fontId="0" fillId="0" borderId="23" xfId="0" applyFont="1" applyBorder="1" applyAlignment="1"/>
    <xf numFmtId="0" fontId="0" fillId="0" borderId="24" xfId="0" applyFont="1" applyBorder="1" applyAlignment="1"/>
    <xf numFmtId="0" fontId="0" fillId="0" borderId="14" xfId="0" applyFont="1" applyBorder="1" applyAlignment="1"/>
    <xf numFmtId="0" fontId="0" fillId="0" borderId="15" xfId="0" applyFont="1" applyBorder="1" applyAlignment="1"/>
    <xf numFmtId="0" fontId="0" fillId="0" borderId="14" xfId="0" pivotButton="1" applyFont="1" applyBorder="1" applyAlignment="1"/>
    <xf numFmtId="0" fontId="0" fillId="0" borderId="14" xfId="0" applyFont="1" applyBorder="1" applyAlignment="1">
      <alignment horizontal="left"/>
    </xf>
    <xf numFmtId="0" fontId="0" fillId="0" borderId="16" xfId="0" applyFont="1" applyBorder="1" applyAlignment="1"/>
    <xf numFmtId="0" fontId="0" fillId="0" borderId="17" xfId="0" applyFont="1" applyBorder="1" applyAlignment="1"/>
    <xf numFmtId="0" fontId="0" fillId="0" borderId="18" xfId="0" applyFont="1" applyBorder="1" applyAlignment="1"/>
    <xf numFmtId="0" fontId="0" fillId="0" borderId="15" xfId="0" applyNumberFormat="1" applyFont="1" applyBorder="1" applyAlignment="1"/>
    <xf numFmtId="0" fontId="0" fillId="0" borderId="16" xfId="0" applyFont="1" applyBorder="1" applyAlignment="1">
      <alignment horizontal="left"/>
    </xf>
    <xf numFmtId="0" fontId="0" fillId="0" borderId="17" xfId="0" applyNumberFormat="1" applyFont="1" applyBorder="1" applyAlignment="1"/>
    <xf numFmtId="0" fontId="0" fillId="0" borderId="18" xfId="0" applyNumberFormat="1" applyFont="1" applyBorder="1" applyAlignment="1"/>
    <xf numFmtId="169" fontId="0" fillId="0" borderId="22" xfId="0" applyNumberFormat="1" applyFont="1" applyBorder="1" applyAlignment="1"/>
    <xf numFmtId="0" fontId="0" fillId="0" borderId="23" xfId="0" applyNumberFormat="1" applyFont="1" applyBorder="1" applyAlignment="1"/>
    <xf numFmtId="0" fontId="0" fillId="0" borderId="24" xfId="0" applyNumberFormat="1" applyFont="1" applyBorder="1" applyAlignment="1"/>
    <xf numFmtId="169" fontId="0" fillId="0" borderId="14" xfId="0" applyNumberFormat="1" applyFont="1" applyBorder="1" applyAlignment="1"/>
    <xf numFmtId="169" fontId="0" fillId="0" borderId="16" xfId="0" applyNumberFormat="1" applyFont="1" applyBorder="1" applyAlignment="1"/>
    <xf numFmtId="0" fontId="0" fillId="0" borderId="21" xfId="0" pivotButton="1" applyFont="1" applyBorder="1" applyAlignment="1"/>
    <xf numFmtId="0" fontId="0" fillId="0" borderId="25" xfId="0" applyFont="1" applyBorder="1" applyAlignment="1">
      <alignment horizontal="left"/>
    </xf>
    <xf numFmtId="0" fontId="0" fillId="0" borderId="26" xfId="0" applyFont="1" applyBorder="1" applyAlignment="1">
      <alignment horizontal="left"/>
    </xf>
    <xf numFmtId="0" fontId="0" fillId="0" borderId="27" xfId="0" applyFont="1" applyBorder="1" applyAlignment="1">
      <alignment horizontal="left"/>
    </xf>
    <xf numFmtId="0" fontId="0" fillId="0" borderId="21" xfId="0" applyFont="1" applyBorder="1" applyAlignment="1">
      <alignment horizontal="left"/>
    </xf>
    <xf numFmtId="0" fontId="0" fillId="0" borderId="28" xfId="0" applyFont="1" applyBorder="1" applyAlignment="1"/>
    <xf numFmtId="0" fontId="0" fillId="0" borderId="29" xfId="0" applyFont="1" applyBorder="1" applyAlignment="1"/>
    <xf numFmtId="0" fontId="0" fillId="0" borderId="30" xfId="0" applyFont="1" applyBorder="1" applyAlignment="1"/>
    <xf numFmtId="0" fontId="0" fillId="0" borderId="0" xfId="0" pivotButton="1" applyFont="1" applyBorder="1" applyAlignment="1"/>
    <xf numFmtId="165" fontId="0" fillId="0" borderId="0" xfId="0" applyNumberFormat="1" applyFont="1" applyBorder="1" applyAlignment="1"/>
    <xf numFmtId="1" fontId="0" fillId="0" borderId="0" xfId="0" applyNumberFormat="1" applyFont="1" applyBorder="1" applyAlignment="1"/>
    <xf numFmtId="1" fontId="0" fillId="0" borderId="15" xfId="0" applyNumberFormat="1" applyFont="1" applyBorder="1" applyAlignment="1"/>
    <xf numFmtId="165" fontId="0" fillId="0" borderId="17" xfId="0" applyNumberFormat="1" applyFont="1" applyBorder="1" applyAlignment="1"/>
    <xf numFmtId="1" fontId="0" fillId="0" borderId="17" xfId="0" applyNumberFormat="1" applyFont="1" applyBorder="1" applyAlignment="1"/>
    <xf numFmtId="1" fontId="0" fillId="0" borderId="18" xfId="0" applyNumberFormat="1" applyFont="1" applyBorder="1" applyAlignment="1"/>
    <xf numFmtId="0" fontId="5" fillId="0" borderId="1" xfId="0" applyFont="1" applyBorder="1" applyAlignment="1">
      <alignment horizontal="center" vertical="top"/>
    </xf>
    <xf numFmtId="168" fontId="0" fillId="0" borderId="15" xfId="0" applyNumberFormat="1" applyFont="1" applyBorder="1" applyAlignment="1"/>
    <xf numFmtId="168" fontId="0" fillId="0" borderId="18" xfId="0" applyNumberFormat="1" applyFont="1" applyBorder="1" applyAlignment="1"/>
    <xf numFmtId="0" fontId="0" fillId="3" borderId="14" xfId="0" applyFont="1" applyFill="1" applyBorder="1" applyAlignment="1">
      <alignment horizontal="left"/>
    </xf>
    <xf numFmtId="168" fontId="0" fillId="3" borderId="15" xfId="0" applyNumberFormat="1" applyFont="1" applyFill="1" applyBorder="1" applyAlignment="1"/>
    <xf numFmtId="0" fontId="5" fillId="2" borderId="3" xfId="0" applyFont="1" applyFill="1" applyBorder="1" applyAlignment="1"/>
    <xf numFmtId="0" fontId="0" fillId="2" borderId="4" xfId="0" applyFont="1" applyFill="1" applyBorder="1" applyAlignment="1"/>
    <xf numFmtId="0" fontId="0" fillId="2" borderId="5" xfId="0" applyFont="1" applyFill="1" applyBorder="1" applyAlignment="1"/>
    <xf numFmtId="0" fontId="5" fillId="2" borderId="22" xfId="0" applyFont="1" applyFill="1" applyBorder="1" applyAlignment="1"/>
    <xf numFmtId="0" fontId="5" fillId="3" borderId="22" xfId="0" applyFont="1" applyFill="1" applyBorder="1" applyAlignment="1"/>
    <xf numFmtId="0" fontId="0" fillId="3" borderId="24" xfId="0" applyFont="1" applyFill="1" applyBorder="1" applyAlignment="1"/>
    <xf numFmtId="0" fontId="0" fillId="3" borderId="23" xfId="0" applyFont="1" applyFill="1" applyBorder="1" applyAlignment="1"/>
    <xf numFmtId="0" fontId="5" fillId="4" borderId="3" xfId="0" applyFont="1" applyFill="1" applyBorder="1" applyAlignment="1"/>
    <xf numFmtId="0" fontId="0" fillId="4" borderId="5" xfId="0" applyFont="1" applyFill="1" applyBorder="1" applyAlignment="1"/>
    <xf numFmtId="0" fontId="0" fillId="5" borderId="6" xfId="0" applyFont="1" applyFill="1" applyBorder="1" applyAlignment="1">
      <alignment horizontal="left"/>
    </xf>
    <xf numFmtId="0" fontId="0" fillId="5" borderId="7" xfId="0" applyNumberFormat="1" applyFont="1" applyFill="1" applyBorder="1" applyAlignment="1"/>
    <xf numFmtId="0" fontId="5" fillId="6" borderId="0" xfId="0" applyFont="1" applyFill="1" applyAlignment="1"/>
    <xf numFmtId="0" fontId="0" fillId="6" borderId="0" xfId="0" applyFont="1" applyFill="1" applyAlignment="1"/>
    <xf numFmtId="0" fontId="5" fillId="6" borderId="22" xfId="0" applyFont="1" applyFill="1" applyBorder="1" applyAlignment="1"/>
    <xf numFmtId="0" fontId="0" fillId="6" borderId="23" xfId="0" applyFont="1" applyFill="1" applyBorder="1" applyAlignment="1"/>
    <xf numFmtId="0" fontId="0" fillId="6" borderId="24" xfId="0" applyFont="1" applyFill="1" applyBorder="1" applyAlignment="1"/>
    <xf numFmtId="0" fontId="5" fillId="7" borderId="3" xfId="0" applyFont="1" applyFill="1" applyBorder="1" applyAlignment="1"/>
    <xf numFmtId="0" fontId="0" fillId="7" borderId="4" xfId="0" applyFont="1" applyFill="1" applyBorder="1" applyAlignment="1"/>
    <xf numFmtId="0" fontId="0" fillId="7" borderId="5" xfId="0" applyFont="1" applyFill="1" applyBorder="1" applyAlignment="1"/>
    <xf numFmtId="0" fontId="2" fillId="7" borderId="0" xfId="0" applyFont="1" applyFill="1" applyBorder="1" applyAlignment="1">
      <alignment horizontal="left"/>
    </xf>
    <xf numFmtId="0" fontId="0" fillId="7" borderId="0" xfId="0" applyFont="1" applyFill="1" applyAlignment="1"/>
    <xf numFmtId="0" fontId="5" fillId="0" borderId="2" xfId="0" applyFont="1" applyBorder="1" applyAlignment="1">
      <alignment horizontal="center" vertical="top"/>
    </xf>
    <xf numFmtId="14" fontId="3" fillId="0" borderId="2" xfId="0" applyNumberFormat="1" applyFont="1" applyBorder="1" applyAlignment="1">
      <alignment horizontal="center" vertical="top"/>
    </xf>
    <xf numFmtId="2" fontId="2" fillId="0" borderId="0" xfId="0" applyNumberFormat="1" applyFont="1" applyAlignment="1"/>
    <xf numFmtId="0" fontId="5" fillId="7" borderId="0" xfId="0" applyFont="1" applyFill="1" applyAlignment="1"/>
    <xf numFmtId="0" fontId="0" fillId="4" borderId="0" xfId="0" applyFont="1" applyFill="1" applyAlignment="1">
      <alignment horizontal="left"/>
    </xf>
    <xf numFmtId="0" fontId="0" fillId="4" borderId="0" xfId="0" applyNumberFormat="1" applyFont="1" applyFill="1" applyAlignment="1"/>
    <xf numFmtId="0" fontId="5" fillId="8" borderId="0" xfId="0" applyFont="1" applyFill="1" applyAlignment="1"/>
    <xf numFmtId="0" fontId="5" fillId="0" borderId="20" xfId="0" applyFont="1" applyFill="1" applyBorder="1" applyAlignment="1">
      <alignment horizontal="center" vertical="top"/>
    </xf>
    <xf numFmtId="0" fontId="0" fillId="8" borderId="0" xfId="0" applyFont="1" applyFill="1" applyAlignment="1">
      <alignment horizontal="left"/>
    </xf>
    <xf numFmtId="0" fontId="0" fillId="8" borderId="0" xfId="0" applyNumberFormat="1" applyFont="1" applyFill="1" applyAlignment="1"/>
    <xf numFmtId="0" fontId="0" fillId="0" borderId="32" xfId="0" applyNumberFormat="1" applyFont="1" applyBorder="1" applyAlignment="1"/>
    <xf numFmtId="0" fontId="0" fillId="0" borderId="33" xfId="0" applyNumberFormat="1" applyFont="1" applyBorder="1" applyAlignment="1"/>
    <xf numFmtId="0" fontId="0" fillId="0" borderId="34" xfId="0" applyNumberFormat="1" applyFont="1" applyBorder="1" applyAlignment="1"/>
    <xf numFmtId="0" fontId="0" fillId="0" borderId="31" xfId="0" pivotButton="1" applyFont="1" applyBorder="1" applyAlignment="1"/>
    <xf numFmtId="0" fontId="0" fillId="0" borderId="32" xfId="0" applyFont="1" applyBorder="1" applyAlignment="1">
      <alignment horizontal="left"/>
    </xf>
    <xf numFmtId="0" fontId="0" fillId="0" borderId="33" xfId="0" applyFont="1" applyBorder="1" applyAlignment="1">
      <alignment horizontal="left"/>
    </xf>
    <xf numFmtId="0" fontId="0" fillId="0" borderId="34" xfId="0" applyFont="1" applyBorder="1" applyAlignment="1">
      <alignment horizontal="left"/>
    </xf>
    <xf numFmtId="0" fontId="0" fillId="0" borderId="31" xfId="0" applyFont="1" applyBorder="1" applyAlignment="1">
      <alignment horizontal="left"/>
    </xf>
    <xf numFmtId="0" fontId="0" fillId="0" borderId="31" xfId="0" applyFont="1" applyBorder="1" applyAlignment="1"/>
    <xf numFmtId="0" fontId="0" fillId="0" borderId="22" xfId="0" applyNumberFormat="1" applyFont="1" applyBorder="1" applyAlignment="1"/>
    <xf numFmtId="0" fontId="0" fillId="0" borderId="14" xfId="0" applyNumberFormat="1" applyFont="1" applyBorder="1" applyAlignment="1"/>
    <xf numFmtId="0" fontId="0" fillId="0" borderId="16" xfId="0" applyNumberFormat="1" applyFont="1" applyBorder="1" applyAlignment="1"/>
    <xf numFmtId="0" fontId="0" fillId="0" borderId="21" xfId="0" applyFont="1" applyBorder="1" applyAlignment="1"/>
    <xf numFmtId="168" fontId="0" fillId="0" borderId="25" xfId="0" applyNumberFormat="1" applyFont="1" applyBorder="1" applyAlignment="1">
      <alignment horizontal="center"/>
    </xf>
    <xf numFmtId="168" fontId="0" fillId="0" borderId="26" xfId="0" applyNumberFormat="1" applyFont="1" applyBorder="1" applyAlignment="1">
      <alignment horizontal="center"/>
    </xf>
    <xf numFmtId="168" fontId="0" fillId="0" borderId="27" xfId="0" applyNumberFormat="1" applyFont="1" applyBorder="1" applyAlignment="1">
      <alignment horizontal="center"/>
    </xf>
    <xf numFmtId="0" fontId="0" fillId="0" borderId="21" xfId="0" applyFont="1" applyBorder="1" applyAlignment="1">
      <alignment horizontal="center"/>
    </xf>
    <xf numFmtId="0" fontId="0" fillId="0" borderId="26" xfId="0" applyNumberFormat="1" applyFont="1" applyBorder="1" applyAlignment="1"/>
    <xf numFmtId="0" fontId="0" fillId="0" borderId="27" xfId="0" applyNumberFormat="1" applyFont="1" applyBorder="1" applyAlignment="1"/>
    <xf numFmtId="0" fontId="0" fillId="9" borderId="25" xfId="0" applyFont="1" applyFill="1" applyBorder="1" applyAlignment="1">
      <alignment horizontal="left"/>
    </xf>
    <xf numFmtId="0" fontId="5" fillId="5" borderId="0" xfId="0" applyFont="1" applyFill="1" applyAlignment="1"/>
    <xf numFmtId="0" fontId="0" fillId="5" borderId="0" xfId="0" applyFont="1" applyFill="1" applyAlignment="1"/>
    <xf numFmtId="0" fontId="0" fillId="2" borderId="24" xfId="0" applyFont="1" applyFill="1" applyBorder="1" applyAlignment="1"/>
    <xf numFmtId="0" fontId="6" fillId="9" borderId="25" xfId="0" applyNumberFormat="1" applyFont="1" applyFill="1" applyBorder="1" applyAlignment="1"/>
    <xf numFmtId="49" fontId="3" fillId="0" borderId="1" xfId="0" applyNumberFormat="1" applyFont="1" applyBorder="1" applyAlignment="1">
      <alignment horizontal="center" vertical="top"/>
    </xf>
    <xf numFmtId="49" fontId="4" fillId="0" borderId="0" xfId="0" applyNumberFormat="1" applyFont="1"/>
    <xf numFmtId="49" fontId="0" fillId="0" borderId="0" xfId="0" applyNumberFormat="1" applyFont="1" applyAlignment="1"/>
    <xf numFmtId="0" fontId="8" fillId="6" borderId="0" xfId="0" applyFont="1" applyFill="1" applyAlignment="1"/>
    <xf numFmtId="0" fontId="7" fillId="10" borderId="0" xfId="0" applyFont="1" applyFill="1" applyAlignment="1"/>
    <xf numFmtId="0" fontId="1" fillId="0" borderId="0" xfId="0" applyFont="1" applyAlignment="1"/>
    <xf numFmtId="0" fontId="5" fillId="3" borderId="0" xfId="0" applyFont="1" applyFill="1" applyAlignment="1"/>
    <xf numFmtId="0" fontId="0" fillId="3" borderId="0" xfId="0" applyFont="1" applyFill="1" applyAlignment="1"/>
    <xf numFmtId="14" fontId="1" fillId="0" borderId="0" xfId="0" applyNumberFormat="1" applyFont="1" applyAlignment="1"/>
    <xf numFmtId="170" fontId="1" fillId="0" borderId="0" xfId="0" applyNumberFormat="1" applyFont="1" applyAlignment="1"/>
    <xf numFmtId="0" fontId="1" fillId="0" borderId="0" xfId="0" applyNumberFormat="1" applyFont="1" applyAlignment="1"/>
    <xf numFmtId="10" fontId="1" fillId="0" borderId="0" xfId="0" applyNumberFormat="1" applyFont="1" applyAlignment="1"/>
    <xf numFmtId="0" fontId="5" fillId="11" borderId="0" xfId="0" applyFont="1" applyFill="1" applyAlignment="1"/>
    <xf numFmtId="0" fontId="5" fillId="4" borderId="0" xfId="0" applyFont="1" applyFill="1" applyAlignment="1"/>
    <xf numFmtId="0" fontId="9" fillId="3" borderId="0" xfId="3" applyFill="1" applyAlignment="1"/>
    <xf numFmtId="0" fontId="10" fillId="3" borderId="0" xfId="0" applyFont="1" applyFill="1" applyAlignment="1"/>
  </cellXfs>
  <cellStyles count="4">
    <cellStyle name="Comma" xfId="1" builtinId="3"/>
    <cellStyle name="Hyperlink" xfId="3" builtinId="8"/>
    <cellStyle name="Normal" xfId="0" builtinId="0"/>
    <cellStyle name="Per cent" xfId="2" builtinId="5"/>
  </cellStyles>
  <dxfs count="166">
    <dxf>
      <fill>
        <patternFill patternType="solid">
          <bgColor theme="5" tint="0.39997558519241921"/>
        </patternFill>
      </fill>
    </dxf>
    <dxf>
      <fill>
        <patternFill patternType="solid">
          <bgColor theme="5" tint="0.39997558519241921"/>
        </patternFill>
      </fill>
    </dxf>
    <dxf>
      <fill>
        <patternFill>
          <bgColor theme="5" tint="0.39997558519241921"/>
        </patternFill>
      </fill>
    </dxf>
    <dxf>
      <fill>
        <patternFill>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7" tint="0.59999389629810485"/>
        </patternFill>
      </fill>
    </dxf>
    <dxf>
      <fill>
        <patternFill patternType="solid">
          <bgColor theme="7" tint="0.59999389629810485"/>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5" formatCode="0.0000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0000"/>
    </dxf>
    <dxf>
      <numFmt numFmtId="166" formatCode="0.0000"/>
    </dxf>
    <dxf>
      <numFmt numFmtId="2" formatCode="0.00"/>
    </dxf>
    <dxf>
      <fill>
        <patternFill>
          <bgColor theme="4" tint="0.59999389629810485"/>
        </patternFill>
      </fill>
    </dxf>
    <dxf>
      <fill>
        <patternFill>
          <bgColor theme="4" tint="0.59999389629810485"/>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00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ont>
        <color theme="1" tint="4.9989318521683403E-2"/>
      </font>
    </dxf>
    <dxf>
      <fill>
        <patternFill>
          <bgColor rgb="FFFF0000"/>
        </patternFill>
      </fil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fill>
        <patternFill patternType="solid">
          <bgColor theme="7" tint="0.39997558519241921"/>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000"/>
    </dxf>
    <dxf>
      <font>
        <color rgb="FF9C5700"/>
      </font>
      <fill>
        <patternFill>
          <bgColor rgb="FFFFEB9C"/>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4" formatCode="0.0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70" formatCode="0.000000000000000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color rgb="FF9C0006"/>
      </font>
      <fill>
        <patternFill>
          <bgColor rgb="FFFFC7CE"/>
        </patternFill>
      </fill>
    </dxf>
    <dxf>
      <border outline="0">
        <top style="thin">
          <color rgb="FF000000"/>
        </top>
      </border>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powerPivotData" Target="model/item.data"/><Relationship Id="rId21" Type="http://schemas.openxmlformats.org/officeDocument/2006/relationships/worksheet" Target="worksheets/sheet21.xml"/><Relationship Id="rId34" Type="http://schemas.microsoft.com/office/2007/relationships/slicerCache" Target="slicerCaches/slicerCache3.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worksheet" Target="worksheets/sheet20.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customXml" Target="../customXml/item4.xml"/><Relationship Id="rId52" Type="http://schemas.openxmlformats.org/officeDocument/2006/relationships/customXml" Target="../customXml/item12.xml"/><Relationship Id="rId6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2.3.2!PivotTable2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 Clicks per post by Hashtags</a:t>
            </a:r>
          </a:p>
          <a:p>
            <a:pPr>
              <a:defRPr/>
            </a:pPr>
            <a:endParaRPr lang="en-US"/>
          </a:p>
        </c:rich>
      </c:tx>
      <c:layout>
        <c:manualLayout>
          <c:xMode val="edge"/>
          <c:yMode val="edge"/>
          <c:x val="0.25026556939346722"/>
          <c:y val="1.5209316019268476E-2"/>
        </c:manualLayout>
      </c:layout>
      <c:overlay val="1"/>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'Task 2.3.2'!$C$4</c:f>
              <c:strCache>
                <c:ptCount val="1"/>
                <c:pt idx="0">
                  <c:v>Total</c:v>
                </c:pt>
              </c:strCache>
            </c:strRef>
          </c:tx>
          <c:explosion val="2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75-400A-BE20-8FEA4013930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75-400A-BE20-8FEA4013930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75-400A-BE20-8FEA4013930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675-400A-BE20-8FEA4013930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675-400A-BE20-8FEA4013930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675-400A-BE20-8FEA4013930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675-400A-BE20-8FEA4013930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675-400A-BE20-8FEA401393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2.3.2'!$B$5:$B$13</c:f>
              <c:strCache>
                <c:ptCount val="8"/>
                <c:pt idx="0">
                  <c:v>#AnytimeIsTeslaTime</c:v>
                </c:pt>
                <c:pt idx="1">
                  <c:v>#BetterWithTesla</c:v>
                </c:pt>
                <c:pt idx="2">
                  <c:v>#EVRevolution</c:v>
                </c:pt>
                <c:pt idx="3">
                  <c:v>#FutureOfDriving</c:v>
                </c:pt>
                <c:pt idx="4">
                  <c:v>#SmoothLikeNitroTesla</c:v>
                </c:pt>
                <c:pt idx="5">
                  <c:v>#TeslaCoInnovation</c:v>
                </c:pt>
                <c:pt idx="6">
                  <c:v>null</c:v>
                </c:pt>
                <c:pt idx="7">
                  <c:v>(blank)</c:v>
                </c:pt>
              </c:strCache>
            </c:strRef>
          </c:cat>
          <c:val>
            <c:numRef>
              <c:f>'Task 2.3.2'!$C$5:$C$13</c:f>
              <c:numCache>
                <c:formatCode>General</c:formatCode>
                <c:ptCount val="8"/>
                <c:pt idx="0">
                  <c:v>150.5</c:v>
                </c:pt>
                <c:pt idx="1">
                  <c:v>170.5</c:v>
                </c:pt>
                <c:pt idx="2">
                  <c:v>163.30681818181819</c:v>
                </c:pt>
                <c:pt idx="3">
                  <c:v>150.34736842105264</c:v>
                </c:pt>
                <c:pt idx="4">
                  <c:v>101.75</c:v>
                </c:pt>
                <c:pt idx="5">
                  <c:v>141.85263157894738</c:v>
                </c:pt>
              </c:numCache>
            </c:numRef>
          </c:val>
          <c:extLst>
            <c:ext xmlns:c16="http://schemas.microsoft.com/office/drawing/2014/chart" uri="{C3380CC4-5D6E-409C-BE32-E72D297353CC}">
              <c16:uniqueId val="{00000000-EB96-40FE-B6A0-DBE337C093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142635059063834"/>
          <c:y val="0.11818390242985737"/>
          <c:w val="0.23794947942264189"/>
          <c:h val="0.75656625260744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3.2!PivotTable4</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Follower growth rate across platform</a:t>
            </a:r>
          </a:p>
          <a:p>
            <a:pPr>
              <a:defRPr/>
            </a:pPr>
            <a:endParaRPr lang="en-US"/>
          </a:p>
        </c:rich>
      </c:tx>
      <c:layout>
        <c:manualLayout>
          <c:xMode val="edge"/>
          <c:yMode val="edge"/>
          <c:x val="0.31563383642345605"/>
          <c:y val="3.165793703099888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3.2'!$A$5:$A$10</c:f>
              <c:strCache>
                <c:ptCount val="5"/>
                <c:pt idx="0">
                  <c:v>Facebook</c:v>
                </c:pt>
                <c:pt idx="1">
                  <c:v>Instagram</c:v>
                </c:pt>
                <c:pt idx="2">
                  <c:v>Twitter</c:v>
                </c:pt>
                <c:pt idx="3">
                  <c:v>YouTube</c:v>
                </c:pt>
                <c:pt idx="4">
                  <c:v>(blank)</c:v>
                </c:pt>
              </c:strCache>
            </c:strRef>
          </c:cat>
          <c:val>
            <c:numRef>
              <c:f>'Task 3.2'!$B$5:$B$10</c:f>
              <c:numCache>
                <c:formatCode>0.000000</c:formatCode>
                <c:ptCount val="5"/>
                <c:pt idx="0">
                  <c:v>5.4649906832972654E-3</c:v>
                </c:pt>
                <c:pt idx="1">
                  <c:v>5.7625321264951823E-3</c:v>
                </c:pt>
                <c:pt idx="2">
                  <c:v>9.2800256766213396E-3</c:v>
                </c:pt>
                <c:pt idx="3">
                  <c:v>9.021066631336009E-3</c:v>
                </c:pt>
              </c:numCache>
            </c:numRef>
          </c:val>
          <c:extLst>
            <c:ext xmlns:c16="http://schemas.microsoft.com/office/drawing/2014/chart" uri="{C3380CC4-5D6E-409C-BE32-E72D297353CC}">
              <c16:uniqueId val="{00000000-4116-43F7-8712-60F502ABCE8B}"/>
            </c:ext>
          </c:extLst>
        </c:ser>
        <c:dLbls>
          <c:dLblPos val="inEnd"/>
          <c:showLegendKey val="0"/>
          <c:showVal val="1"/>
          <c:showCatName val="0"/>
          <c:showSerName val="0"/>
          <c:showPercent val="0"/>
          <c:showBubbleSize val="0"/>
        </c:dLbls>
        <c:gapWidth val="65"/>
        <c:axId val="431791856"/>
        <c:axId val="431792272"/>
      </c:barChart>
      <c:catAx>
        <c:axId val="431791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1792272"/>
        <c:crosses val="autoZero"/>
        <c:auto val="1"/>
        <c:lblAlgn val="ctr"/>
        <c:lblOffset val="100"/>
        <c:noMultiLvlLbl val="0"/>
      </c:catAx>
      <c:valAx>
        <c:axId val="431792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 sourceLinked="1"/>
        <c:majorTickMark val="none"/>
        <c:minorTickMark val="none"/>
        <c:tickLblPos val="nextTo"/>
        <c:crossAx val="431791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3.3!PivotTable9</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Engagement</a:t>
            </a:r>
            <a:r>
              <a:rPr lang="en-IN" baseline="0"/>
              <a:t> vs Ad Spend per platform</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9513566901698E-2"/>
          <c:y val="0.2688454328272416"/>
          <c:w val="0.72373404543944198"/>
          <c:h val="0.60423602814345556"/>
        </c:manualLayout>
      </c:layout>
      <c:barChart>
        <c:barDir val="col"/>
        <c:grouping val="clustered"/>
        <c:varyColors val="0"/>
        <c:ser>
          <c:idx val="0"/>
          <c:order val="0"/>
          <c:tx>
            <c:strRef>
              <c:f>'Task 3.3'!$B$4</c:f>
              <c:strCache>
                <c:ptCount val="1"/>
                <c:pt idx="0">
                  <c:v>Sum of Engagement_Rate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3.3'!$A$5:$A$10</c:f>
              <c:strCache>
                <c:ptCount val="5"/>
                <c:pt idx="0">
                  <c:v>Facebook</c:v>
                </c:pt>
                <c:pt idx="1">
                  <c:v>Instagram</c:v>
                </c:pt>
                <c:pt idx="2">
                  <c:v>Twitter</c:v>
                </c:pt>
                <c:pt idx="3">
                  <c:v>YouTube</c:v>
                </c:pt>
                <c:pt idx="4">
                  <c:v>(blank)</c:v>
                </c:pt>
              </c:strCache>
            </c:strRef>
          </c:cat>
          <c:val>
            <c:numRef>
              <c:f>'Task 3.3'!$B$5:$B$10</c:f>
              <c:numCache>
                <c:formatCode>General</c:formatCode>
                <c:ptCount val="5"/>
                <c:pt idx="0">
                  <c:v>282.43</c:v>
                </c:pt>
                <c:pt idx="1">
                  <c:v>285.78000000000003</c:v>
                </c:pt>
                <c:pt idx="2">
                  <c:v>282.79000000000002</c:v>
                </c:pt>
                <c:pt idx="3">
                  <c:v>277.94</c:v>
                </c:pt>
              </c:numCache>
            </c:numRef>
          </c:val>
          <c:extLst>
            <c:ext xmlns:c16="http://schemas.microsoft.com/office/drawing/2014/chart" uri="{C3380CC4-5D6E-409C-BE32-E72D297353CC}">
              <c16:uniqueId val="{00000000-F506-42CE-AC05-D8C2F8FCDAFA}"/>
            </c:ext>
          </c:extLst>
        </c:ser>
        <c:dLbls>
          <c:showLegendKey val="0"/>
          <c:showVal val="1"/>
          <c:showCatName val="0"/>
          <c:showSerName val="0"/>
          <c:showPercent val="0"/>
          <c:showBubbleSize val="0"/>
        </c:dLbls>
        <c:gapWidth val="150"/>
        <c:axId val="481999936"/>
        <c:axId val="482000352"/>
      </c:barChart>
      <c:lineChart>
        <c:grouping val="standard"/>
        <c:varyColors val="0"/>
        <c:ser>
          <c:idx val="1"/>
          <c:order val="1"/>
          <c:tx>
            <c:strRef>
              <c:f>'Task 3.3'!$C$4</c:f>
              <c:strCache>
                <c:ptCount val="1"/>
                <c:pt idx="0">
                  <c:v>Average of Ad_Spend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3.3'!$A$5:$A$10</c:f>
              <c:strCache>
                <c:ptCount val="5"/>
                <c:pt idx="0">
                  <c:v>Facebook</c:v>
                </c:pt>
                <c:pt idx="1">
                  <c:v>Instagram</c:v>
                </c:pt>
                <c:pt idx="2">
                  <c:v>Twitter</c:v>
                </c:pt>
                <c:pt idx="3">
                  <c:v>YouTube</c:v>
                </c:pt>
                <c:pt idx="4">
                  <c:v>(blank)</c:v>
                </c:pt>
              </c:strCache>
            </c:strRef>
          </c:cat>
          <c:val>
            <c:numRef>
              <c:f>'Task 3.3'!$C$5:$C$10</c:f>
              <c:numCache>
                <c:formatCode>General</c:formatCode>
                <c:ptCount val="5"/>
                <c:pt idx="0">
                  <c:v>27590.78</c:v>
                </c:pt>
                <c:pt idx="1">
                  <c:v>23287.46</c:v>
                </c:pt>
                <c:pt idx="2">
                  <c:v>21207.14</c:v>
                </c:pt>
                <c:pt idx="3">
                  <c:v>24572.94</c:v>
                </c:pt>
              </c:numCache>
            </c:numRef>
          </c:val>
          <c:smooth val="0"/>
          <c:extLst>
            <c:ext xmlns:c16="http://schemas.microsoft.com/office/drawing/2014/chart" uri="{C3380CC4-5D6E-409C-BE32-E72D297353CC}">
              <c16:uniqueId val="{00000001-F506-42CE-AC05-D8C2F8FCDAFA}"/>
            </c:ext>
          </c:extLst>
        </c:ser>
        <c:dLbls>
          <c:showLegendKey val="0"/>
          <c:showVal val="1"/>
          <c:showCatName val="0"/>
          <c:showSerName val="0"/>
          <c:showPercent val="0"/>
          <c:showBubbleSize val="0"/>
        </c:dLbls>
        <c:marker val="1"/>
        <c:smooth val="0"/>
        <c:axId val="482002016"/>
        <c:axId val="482000768"/>
      </c:lineChart>
      <c:catAx>
        <c:axId val="481999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00352"/>
        <c:crosses val="autoZero"/>
        <c:auto val="1"/>
        <c:lblAlgn val="ctr"/>
        <c:lblOffset val="100"/>
        <c:noMultiLvlLbl val="0"/>
      </c:catAx>
      <c:valAx>
        <c:axId val="482000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999936"/>
        <c:crosses val="autoZero"/>
        <c:crossBetween val="between"/>
      </c:valAx>
      <c:valAx>
        <c:axId val="4820007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02016"/>
        <c:crosses val="max"/>
        <c:crossBetween val="between"/>
      </c:valAx>
      <c:catAx>
        <c:axId val="482002016"/>
        <c:scaling>
          <c:orientation val="minMax"/>
        </c:scaling>
        <c:delete val="0"/>
        <c:axPos val="t"/>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000768"/>
        <c:crosses val="max"/>
        <c:auto val="1"/>
        <c:lblAlgn val="ctr"/>
        <c:lblOffset val="100"/>
        <c:noMultiLvlLbl val="0"/>
      </c:catAx>
      <c:spPr>
        <a:noFill/>
        <a:ln>
          <a:noFill/>
        </a:ln>
        <a:effectLst/>
      </c:spPr>
    </c:plotArea>
    <c:legend>
      <c:legendPos val="r"/>
      <c:layout>
        <c:manualLayout>
          <c:xMode val="edge"/>
          <c:yMode val="edge"/>
          <c:x val="0.83629265853963386"/>
          <c:y val="0.28991535477654184"/>
          <c:w val="0.15423986635816864"/>
          <c:h val="0.21640385458749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5.1.2!PivotTable4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5839895013126"/>
          <c:y val="0.13495319371760928"/>
          <c:w val="0.87758880139982498"/>
          <c:h val="0.78486852735836643"/>
        </c:manualLayout>
      </c:layout>
      <c:barChart>
        <c:barDir val="col"/>
        <c:grouping val="clustered"/>
        <c:varyColors val="0"/>
        <c:ser>
          <c:idx val="0"/>
          <c:order val="0"/>
          <c:tx>
            <c:strRef>
              <c:f>'Task 5.1.2'!$B$3</c:f>
              <c:strCache>
                <c:ptCount val="1"/>
                <c:pt idx="0">
                  <c:v>Sum of Baseline Avg(Pre-Campaign)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5.1.2'!$A$4:$A$9</c:f>
              <c:strCache>
                <c:ptCount val="5"/>
                <c:pt idx="0">
                  <c:v>CybertruckLaunch</c:v>
                </c:pt>
                <c:pt idx="1">
                  <c:v>FSDUpdate</c:v>
                </c:pt>
                <c:pt idx="2">
                  <c:v>ModelYCampaign</c:v>
                </c:pt>
                <c:pt idx="3">
                  <c:v>SustainabilityDrive</c:v>
                </c:pt>
                <c:pt idx="4">
                  <c:v>(blank)</c:v>
                </c:pt>
              </c:strCache>
            </c:strRef>
          </c:cat>
          <c:val>
            <c:numRef>
              <c:f>'Task 5.1.2'!$B$4:$B$9</c:f>
              <c:numCache>
                <c:formatCode>General</c:formatCode>
                <c:ptCount val="5"/>
                <c:pt idx="0">
                  <c:v>8.5549999999999997</c:v>
                </c:pt>
                <c:pt idx="1">
                  <c:v>5.718</c:v>
                </c:pt>
                <c:pt idx="2">
                  <c:v>5.0619999999999994</c:v>
                </c:pt>
                <c:pt idx="3">
                  <c:v>3.9249999999999998</c:v>
                </c:pt>
              </c:numCache>
            </c:numRef>
          </c:val>
          <c:extLst>
            <c:ext xmlns:c16="http://schemas.microsoft.com/office/drawing/2014/chart" uri="{C3380CC4-5D6E-409C-BE32-E72D297353CC}">
              <c16:uniqueId val="{00000000-C9EB-44F2-800E-293D13621B7C}"/>
            </c:ext>
          </c:extLst>
        </c:ser>
        <c:ser>
          <c:idx val="1"/>
          <c:order val="1"/>
          <c:tx>
            <c:strRef>
              <c:f>'Task 5.1.2'!$C$3</c:f>
              <c:strCache>
                <c:ptCount val="1"/>
                <c:pt idx="0">
                  <c:v>Sum of Campaign Avg(During)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5.1.2'!$A$4:$A$9</c:f>
              <c:strCache>
                <c:ptCount val="5"/>
                <c:pt idx="0">
                  <c:v>CybertruckLaunch</c:v>
                </c:pt>
                <c:pt idx="1">
                  <c:v>FSDUpdate</c:v>
                </c:pt>
                <c:pt idx="2">
                  <c:v>ModelYCampaign</c:v>
                </c:pt>
                <c:pt idx="3">
                  <c:v>SustainabilityDrive</c:v>
                </c:pt>
                <c:pt idx="4">
                  <c:v>(blank)</c:v>
                </c:pt>
              </c:strCache>
            </c:strRef>
          </c:cat>
          <c:val>
            <c:numRef>
              <c:f>'Task 5.1.2'!$C$4:$C$9</c:f>
              <c:numCache>
                <c:formatCode>General</c:formatCode>
                <c:ptCount val="5"/>
                <c:pt idx="0">
                  <c:v>6.2439999999999998</c:v>
                </c:pt>
                <c:pt idx="1">
                  <c:v>5.6449999999999996</c:v>
                </c:pt>
                <c:pt idx="2">
                  <c:v>6.875</c:v>
                </c:pt>
                <c:pt idx="3">
                  <c:v>6.2780000000000005</c:v>
                </c:pt>
              </c:numCache>
            </c:numRef>
          </c:val>
          <c:extLst>
            <c:ext xmlns:c16="http://schemas.microsoft.com/office/drawing/2014/chart" uri="{C3380CC4-5D6E-409C-BE32-E72D297353CC}">
              <c16:uniqueId val="{00000001-C9EB-44F2-800E-293D13621B7C}"/>
            </c:ext>
          </c:extLst>
        </c:ser>
        <c:dLbls>
          <c:showLegendKey val="0"/>
          <c:showVal val="0"/>
          <c:showCatName val="0"/>
          <c:showSerName val="0"/>
          <c:showPercent val="0"/>
          <c:showBubbleSize val="0"/>
        </c:dLbls>
        <c:gapWidth val="100"/>
        <c:overlap val="-24"/>
        <c:axId val="2047247343"/>
        <c:axId val="2047247759"/>
      </c:barChart>
      <c:catAx>
        <c:axId val="2047247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247759"/>
        <c:crosses val="autoZero"/>
        <c:auto val="1"/>
        <c:lblAlgn val="ctr"/>
        <c:lblOffset val="100"/>
        <c:noMultiLvlLbl val="0"/>
      </c:catAx>
      <c:valAx>
        <c:axId val="2047247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247343"/>
        <c:crosses val="autoZero"/>
        <c:crossBetween val="between"/>
      </c:valAx>
      <c:spPr>
        <a:noFill/>
        <a:ln>
          <a:noFill/>
        </a:ln>
        <a:effectLst/>
      </c:spPr>
    </c:plotArea>
    <c:legend>
      <c:legendPos val="r"/>
      <c:layout>
        <c:manualLayout>
          <c:xMode val="edge"/>
          <c:yMode val="edge"/>
          <c:x val="0.67551586663911911"/>
          <c:y val="1.6635161007217163E-2"/>
          <c:w val="0.31282232578070596"/>
          <c:h val="0.22050207626280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6.1!PivotTable6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'Task 6.1'!$B$3:$B$4</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6.1'!$A$5:$A$6</c:f>
              <c:strCache>
                <c:ptCount val="1"/>
                <c:pt idx="0">
                  <c:v>2024-07-08</c:v>
                </c:pt>
              </c:strCache>
            </c:strRef>
          </c:cat>
          <c:val>
            <c:numRef>
              <c:f>'Task 6.1'!$B$5:$B$6</c:f>
              <c:numCache>
                <c:formatCode>General</c:formatCode>
                <c:ptCount val="1"/>
                <c:pt idx="0">
                  <c:v>350</c:v>
                </c:pt>
              </c:numCache>
            </c:numRef>
          </c:val>
          <c:smooth val="0"/>
          <c:extLst>
            <c:ext xmlns:c16="http://schemas.microsoft.com/office/drawing/2014/chart" uri="{C3380CC4-5D6E-409C-BE32-E72D297353CC}">
              <c16:uniqueId val="{00000000-DB07-4FFA-A6E1-BD9F4E1EB466}"/>
            </c:ext>
          </c:extLst>
        </c:ser>
        <c:ser>
          <c:idx val="1"/>
          <c:order val="1"/>
          <c:tx>
            <c:strRef>
              <c:f>'Task 6.1'!$C$3:$C$4</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'Task 6.1'!$A$5:$A$6</c:f>
              <c:strCache>
                <c:ptCount val="1"/>
                <c:pt idx="0">
                  <c:v>2024-07-08</c:v>
                </c:pt>
              </c:strCache>
            </c:strRef>
          </c:cat>
          <c:val>
            <c:numRef>
              <c:f>'Task 6.1'!$C$5:$C$6</c:f>
              <c:numCache>
                <c:formatCode>General</c:formatCode>
                <c:ptCount val="1"/>
                <c:pt idx="0">
                  <c:v>1757</c:v>
                </c:pt>
              </c:numCache>
            </c:numRef>
          </c:val>
          <c:smooth val="0"/>
          <c:extLst>
            <c:ext xmlns:c16="http://schemas.microsoft.com/office/drawing/2014/chart" uri="{C3380CC4-5D6E-409C-BE32-E72D297353CC}">
              <c16:uniqueId val="{00000001-DB07-4FFA-A6E1-BD9F4E1EB466}"/>
            </c:ext>
          </c:extLst>
        </c:ser>
        <c:ser>
          <c:idx val="2"/>
          <c:order val="2"/>
          <c:tx>
            <c:strRef>
              <c:f>'Task 6.1'!$D$3:$D$4</c:f>
              <c:strCache>
                <c:ptCount val="1"/>
                <c:pt idx="0">
                  <c:v>Twitter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'Task 6.1'!$A$5:$A$6</c:f>
              <c:strCache>
                <c:ptCount val="1"/>
                <c:pt idx="0">
                  <c:v>2024-07-08</c:v>
                </c:pt>
              </c:strCache>
            </c:strRef>
          </c:cat>
          <c:val>
            <c:numRef>
              <c:f>'Task 6.1'!$D$5:$D$6</c:f>
              <c:numCache>
                <c:formatCode>General</c:formatCode>
                <c:ptCount val="1"/>
                <c:pt idx="0">
                  <c:v>987</c:v>
                </c:pt>
              </c:numCache>
            </c:numRef>
          </c:val>
          <c:smooth val="0"/>
          <c:extLst>
            <c:ext xmlns:c16="http://schemas.microsoft.com/office/drawing/2014/chart" uri="{C3380CC4-5D6E-409C-BE32-E72D297353CC}">
              <c16:uniqueId val="{00000002-DB07-4FFA-A6E1-BD9F4E1EB466}"/>
            </c:ext>
          </c:extLst>
        </c:ser>
        <c:ser>
          <c:idx val="3"/>
          <c:order val="3"/>
          <c:tx>
            <c:strRef>
              <c:f>'Task 6.1'!$E$3:$E$4</c:f>
              <c:strCache>
                <c:ptCount val="1"/>
                <c:pt idx="0">
                  <c:v>YouTube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'Task 6.1'!$A$5:$A$6</c:f>
              <c:strCache>
                <c:ptCount val="1"/>
                <c:pt idx="0">
                  <c:v>2024-07-08</c:v>
                </c:pt>
              </c:strCache>
            </c:strRef>
          </c:cat>
          <c:val>
            <c:numRef>
              <c:f>'Task 6.1'!$E$5:$E$6</c:f>
              <c:numCache>
                <c:formatCode>General</c:formatCode>
                <c:ptCount val="1"/>
                <c:pt idx="0">
                  <c:v>883</c:v>
                </c:pt>
              </c:numCache>
            </c:numRef>
          </c:val>
          <c:smooth val="0"/>
          <c:extLst>
            <c:ext xmlns:c16="http://schemas.microsoft.com/office/drawing/2014/chart" uri="{C3380CC4-5D6E-409C-BE32-E72D297353CC}">
              <c16:uniqueId val="{00000003-DB07-4FFA-A6E1-BD9F4E1EB466}"/>
            </c:ext>
          </c:extLst>
        </c:ser>
        <c:dLbls>
          <c:showLegendKey val="0"/>
          <c:showVal val="0"/>
          <c:showCatName val="0"/>
          <c:showSerName val="0"/>
          <c:showPercent val="0"/>
          <c:showBubbleSize val="0"/>
        </c:dLbls>
        <c:marker val="1"/>
        <c:smooth val="0"/>
        <c:axId val="768576239"/>
        <c:axId val="768581231"/>
      </c:lineChart>
      <c:catAx>
        <c:axId val="76857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81231"/>
        <c:crosses val="autoZero"/>
        <c:auto val="1"/>
        <c:lblAlgn val="ctr"/>
        <c:lblOffset val="100"/>
        <c:noMultiLvlLbl val="0"/>
      </c:catAx>
      <c:valAx>
        <c:axId val="76858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5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[Tesla_Social_Media_Analytics final.xlsx]Task 6.3!PivotTable1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movingAvg"/>
            <c:period val="2"/>
            <c:dispRSqr val="0"/>
            <c:dispEq val="0"/>
          </c:trendline>
          <c:trendline>
            <c:spPr>
              <a:ln w="19050" cap="rnd">
                <a:solidFill>
                  <a:schemeClr val="accent1"/>
                </a:solidFill>
              </a:ln>
              <a:effectLst/>
            </c:spPr>
            <c:trendlineType val="movingAvg"/>
            <c:period val="2"/>
            <c:dispRSqr val="0"/>
            <c:dispEq val="0"/>
          </c:trendline>
          <c:trendline>
            <c:spPr>
              <a:ln w="19050" cap="rnd">
                <a:solidFill>
                  <a:schemeClr val="accent1"/>
                </a:solidFill>
              </a:ln>
              <a:effectLst/>
            </c:spPr>
            <c:trendlineType val="movingAvg"/>
            <c:period val="2"/>
            <c:dispRSqr val="0"/>
            <c:dispEq val="0"/>
          </c:trendline>
          <c:cat>
            <c:strRef>
              <c:f>'Task 6.3'!$A$4:$A$7</c:f>
              <c:strCache>
                <c:ptCount val="3"/>
                <c:pt idx="0">
                  <c:v>&lt;03-06-2024</c:v>
                </c:pt>
                <c:pt idx="1">
                  <c:v>2024</c:v>
                </c:pt>
                <c:pt idx="2">
                  <c:v>2025</c:v>
                </c:pt>
              </c:strCache>
            </c:strRef>
          </c:cat>
          <c:val>
            <c:numRef>
              <c:f>'Task 6.3'!$B$4:$B$7</c:f>
              <c:numCache>
                <c:formatCode>General</c:formatCode>
                <c:ptCount val="3"/>
                <c:pt idx="1">
                  <c:v>128660</c:v>
                </c:pt>
                <c:pt idx="2">
                  <c:v>81468</c:v>
                </c:pt>
              </c:numCache>
            </c:numRef>
          </c:val>
          <c:smooth val="0"/>
          <c:extLst>
            <c:ext xmlns:c16="http://schemas.microsoft.com/office/drawing/2014/chart" uri="{C3380CC4-5D6E-409C-BE32-E72D297353CC}">
              <c16:uniqueId val="{00000000-B629-4D6A-97B4-6434903DF496}"/>
            </c:ext>
          </c:extLst>
        </c:ser>
        <c:dLbls>
          <c:showLegendKey val="0"/>
          <c:showVal val="0"/>
          <c:showCatName val="0"/>
          <c:showSerName val="0"/>
          <c:showPercent val="0"/>
          <c:showBubbleSize val="0"/>
        </c:dLbls>
        <c:marker val="1"/>
        <c:smooth val="0"/>
        <c:axId val="1155175327"/>
        <c:axId val="1155174495"/>
      </c:lineChart>
      <c:catAx>
        <c:axId val="11551753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174495"/>
        <c:crosses val="autoZero"/>
        <c:auto val="1"/>
        <c:lblAlgn val="ctr"/>
        <c:lblOffset val="100"/>
        <c:noMultiLvlLbl val="0"/>
      </c:catAx>
      <c:valAx>
        <c:axId val="115517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17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Ad Spend VS Follower Growth</a:t>
            </a:r>
          </a:p>
          <a:p>
            <a:pPr>
              <a:defRPr/>
            </a:pPr>
            <a:endParaRPr lang="en-IN"/>
          </a:p>
        </c:rich>
      </c:tx>
      <c:layout>
        <c:manualLayout>
          <c:xMode val="edge"/>
          <c:yMode val="edge"/>
          <c:x val="0.40949300087489071"/>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7.181828439669341E-2"/>
          <c:y val="0.10520286396181386"/>
          <c:w val="0.88815679348492649"/>
          <c:h val="0.7573800888254123"/>
        </c:manualLayout>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'Engagement Summary'!$C$2:$C$201</c:f>
              <c:numCache>
                <c:formatCode>General</c:formatCode>
                <c:ptCount val="200"/>
                <c:pt idx="0">
                  <c:v>1980</c:v>
                </c:pt>
                <c:pt idx="1">
                  <c:v>1960</c:v>
                </c:pt>
                <c:pt idx="2">
                  <c:v>1957</c:v>
                </c:pt>
                <c:pt idx="3">
                  <c:v>1957</c:v>
                </c:pt>
                <c:pt idx="4">
                  <c:v>1957</c:v>
                </c:pt>
                <c:pt idx="5">
                  <c:v>1946</c:v>
                </c:pt>
                <c:pt idx="6">
                  <c:v>1939</c:v>
                </c:pt>
                <c:pt idx="7">
                  <c:v>1937</c:v>
                </c:pt>
                <c:pt idx="8">
                  <c:v>1929</c:v>
                </c:pt>
                <c:pt idx="9">
                  <c:v>1918</c:v>
                </c:pt>
                <c:pt idx="10">
                  <c:v>1911</c:v>
                </c:pt>
                <c:pt idx="11">
                  <c:v>1902</c:v>
                </c:pt>
                <c:pt idx="12">
                  <c:v>1900</c:v>
                </c:pt>
                <c:pt idx="13">
                  <c:v>1895</c:v>
                </c:pt>
                <c:pt idx="14">
                  <c:v>1884</c:v>
                </c:pt>
                <c:pt idx="15">
                  <c:v>1855</c:v>
                </c:pt>
                <c:pt idx="16">
                  <c:v>1854</c:v>
                </c:pt>
                <c:pt idx="17">
                  <c:v>1842</c:v>
                </c:pt>
                <c:pt idx="18">
                  <c:v>1821</c:v>
                </c:pt>
                <c:pt idx="19">
                  <c:v>1814</c:v>
                </c:pt>
                <c:pt idx="20">
                  <c:v>1814</c:v>
                </c:pt>
                <c:pt idx="21">
                  <c:v>1786</c:v>
                </c:pt>
                <c:pt idx="22">
                  <c:v>1779</c:v>
                </c:pt>
                <c:pt idx="23">
                  <c:v>1765</c:v>
                </c:pt>
                <c:pt idx="24">
                  <c:v>1757</c:v>
                </c:pt>
                <c:pt idx="25">
                  <c:v>1756</c:v>
                </c:pt>
                <c:pt idx="26">
                  <c:v>1753</c:v>
                </c:pt>
                <c:pt idx="27">
                  <c:v>1751</c:v>
                </c:pt>
                <c:pt idx="28">
                  <c:v>1748</c:v>
                </c:pt>
                <c:pt idx="29">
                  <c:v>1710</c:v>
                </c:pt>
                <c:pt idx="30">
                  <c:v>1707</c:v>
                </c:pt>
                <c:pt idx="31">
                  <c:v>1707</c:v>
                </c:pt>
                <c:pt idx="32">
                  <c:v>1707</c:v>
                </c:pt>
                <c:pt idx="33">
                  <c:v>1701</c:v>
                </c:pt>
                <c:pt idx="34">
                  <c:v>1697</c:v>
                </c:pt>
                <c:pt idx="35">
                  <c:v>1696</c:v>
                </c:pt>
                <c:pt idx="36">
                  <c:v>1693</c:v>
                </c:pt>
                <c:pt idx="37">
                  <c:v>1685</c:v>
                </c:pt>
                <c:pt idx="38">
                  <c:v>1662</c:v>
                </c:pt>
                <c:pt idx="39">
                  <c:v>1658</c:v>
                </c:pt>
                <c:pt idx="40">
                  <c:v>1633</c:v>
                </c:pt>
                <c:pt idx="41">
                  <c:v>1623</c:v>
                </c:pt>
                <c:pt idx="42">
                  <c:v>1596</c:v>
                </c:pt>
                <c:pt idx="43">
                  <c:v>1592</c:v>
                </c:pt>
                <c:pt idx="44">
                  <c:v>1592</c:v>
                </c:pt>
                <c:pt idx="45">
                  <c:v>1587</c:v>
                </c:pt>
                <c:pt idx="46">
                  <c:v>1581</c:v>
                </c:pt>
                <c:pt idx="47">
                  <c:v>1556</c:v>
                </c:pt>
                <c:pt idx="48">
                  <c:v>1535</c:v>
                </c:pt>
                <c:pt idx="49">
                  <c:v>1534</c:v>
                </c:pt>
                <c:pt idx="50">
                  <c:v>1528</c:v>
                </c:pt>
                <c:pt idx="51">
                  <c:v>1527</c:v>
                </c:pt>
                <c:pt idx="52">
                  <c:v>1520</c:v>
                </c:pt>
                <c:pt idx="53">
                  <c:v>1514</c:v>
                </c:pt>
                <c:pt idx="54">
                  <c:v>1507</c:v>
                </c:pt>
                <c:pt idx="55">
                  <c:v>1502</c:v>
                </c:pt>
                <c:pt idx="56">
                  <c:v>1501</c:v>
                </c:pt>
                <c:pt idx="57">
                  <c:v>1495</c:v>
                </c:pt>
                <c:pt idx="58">
                  <c:v>1494</c:v>
                </c:pt>
                <c:pt idx="59">
                  <c:v>1487</c:v>
                </c:pt>
                <c:pt idx="60">
                  <c:v>1472</c:v>
                </c:pt>
                <c:pt idx="61">
                  <c:v>1466</c:v>
                </c:pt>
                <c:pt idx="62">
                  <c:v>1441</c:v>
                </c:pt>
                <c:pt idx="63">
                  <c:v>1440</c:v>
                </c:pt>
                <c:pt idx="64">
                  <c:v>1433</c:v>
                </c:pt>
                <c:pt idx="65">
                  <c:v>1432</c:v>
                </c:pt>
                <c:pt idx="66">
                  <c:v>1429</c:v>
                </c:pt>
                <c:pt idx="67">
                  <c:v>1420</c:v>
                </c:pt>
                <c:pt idx="68">
                  <c:v>1411</c:v>
                </c:pt>
                <c:pt idx="69">
                  <c:v>1409</c:v>
                </c:pt>
                <c:pt idx="70">
                  <c:v>1399</c:v>
                </c:pt>
                <c:pt idx="71">
                  <c:v>1391</c:v>
                </c:pt>
                <c:pt idx="72">
                  <c:v>1375</c:v>
                </c:pt>
                <c:pt idx="73">
                  <c:v>1371</c:v>
                </c:pt>
                <c:pt idx="74">
                  <c:v>1358</c:v>
                </c:pt>
                <c:pt idx="75">
                  <c:v>1335</c:v>
                </c:pt>
                <c:pt idx="76">
                  <c:v>1331</c:v>
                </c:pt>
                <c:pt idx="77">
                  <c:v>1312</c:v>
                </c:pt>
                <c:pt idx="78">
                  <c:v>1307</c:v>
                </c:pt>
                <c:pt idx="79">
                  <c:v>1300</c:v>
                </c:pt>
                <c:pt idx="80">
                  <c:v>1294</c:v>
                </c:pt>
                <c:pt idx="81">
                  <c:v>1293</c:v>
                </c:pt>
                <c:pt idx="82">
                  <c:v>1249</c:v>
                </c:pt>
                <c:pt idx="83">
                  <c:v>1238</c:v>
                </c:pt>
                <c:pt idx="84">
                  <c:v>1222</c:v>
                </c:pt>
                <c:pt idx="85">
                  <c:v>1218</c:v>
                </c:pt>
                <c:pt idx="86">
                  <c:v>1210</c:v>
                </c:pt>
                <c:pt idx="87">
                  <c:v>1197</c:v>
                </c:pt>
                <c:pt idx="88">
                  <c:v>1166</c:v>
                </c:pt>
                <c:pt idx="89">
                  <c:v>1159</c:v>
                </c:pt>
                <c:pt idx="90">
                  <c:v>1155</c:v>
                </c:pt>
                <c:pt idx="91">
                  <c:v>1147</c:v>
                </c:pt>
                <c:pt idx="92">
                  <c:v>1138</c:v>
                </c:pt>
                <c:pt idx="93">
                  <c:v>1137</c:v>
                </c:pt>
                <c:pt idx="94">
                  <c:v>1135</c:v>
                </c:pt>
                <c:pt idx="95">
                  <c:v>1102</c:v>
                </c:pt>
                <c:pt idx="96">
                  <c:v>1098</c:v>
                </c:pt>
                <c:pt idx="97">
                  <c:v>1092</c:v>
                </c:pt>
                <c:pt idx="98">
                  <c:v>1078</c:v>
                </c:pt>
                <c:pt idx="99">
                  <c:v>1077</c:v>
                </c:pt>
                <c:pt idx="100">
                  <c:v>1075</c:v>
                </c:pt>
                <c:pt idx="101">
                  <c:v>1063</c:v>
                </c:pt>
                <c:pt idx="102">
                  <c:v>1048</c:v>
                </c:pt>
                <c:pt idx="103">
                  <c:v>1040</c:v>
                </c:pt>
                <c:pt idx="104">
                  <c:v>1035</c:v>
                </c:pt>
                <c:pt idx="105">
                  <c:v>1033</c:v>
                </c:pt>
                <c:pt idx="106">
                  <c:v>1013</c:v>
                </c:pt>
                <c:pt idx="107">
                  <c:v>1004</c:v>
                </c:pt>
                <c:pt idx="108">
                  <c:v>988</c:v>
                </c:pt>
                <c:pt idx="109">
                  <c:v>987</c:v>
                </c:pt>
                <c:pt idx="110">
                  <c:v>961</c:v>
                </c:pt>
                <c:pt idx="111">
                  <c:v>947</c:v>
                </c:pt>
                <c:pt idx="112">
                  <c:v>946</c:v>
                </c:pt>
                <c:pt idx="113">
                  <c:v>927</c:v>
                </c:pt>
                <c:pt idx="114">
                  <c:v>911</c:v>
                </c:pt>
                <c:pt idx="115">
                  <c:v>891</c:v>
                </c:pt>
                <c:pt idx="116">
                  <c:v>883</c:v>
                </c:pt>
                <c:pt idx="117">
                  <c:v>861</c:v>
                </c:pt>
                <c:pt idx="118">
                  <c:v>859</c:v>
                </c:pt>
                <c:pt idx="119">
                  <c:v>837</c:v>
                </c:pt>
                <c:pt idx="120">
                  <c:v>833</c:v>
                </c:pt>
                <c:pt idx="121">
                  <c:v>826</c:v>
                </c:pt>
                <c:pt idx="122">
                  <c:v>817</c:v>
                </c:pt>
                <c:pt idx="123">
                  <c:v>816</c:v>
                </c:pt>
                <c:pt idx="124">
                  <c:v>804</c:v>
                </c:pt>
                <c:pt idx="125">
                  <c:v>778</c:v>
                </c:pt>
                <c:pt idx="126">
                  <c:v>777</c:v>
                </c:pt>
                <c:pt idx="127">
                  <c:v>752</c:v>
                </c:pt>
                <c:pt idx="128">
                  <c:v>751</c:v>
                </c:pt>
                <c:pt idx="129">
                  <c:v>736</c:v>
                </c:pt>
                <c:pt idx="130">
                  <c:v>728</c:v>
                </c:pt>
                <c:pt idx="131">
                  <c:v>704</c:v>
                </c:pt>
                <c:pt idx="132">
                  <c:v>703</c:v>
                </c:pt>
                <c:pt idx="133">
                  <c:v>697</c:v>
                </c:pt>
                <c:pt idx="134">
                  <c:v>663</c:v>
                </c:pt>
                <c:pt idx="135">
                  <c:v>656</c:v>
                </c:pt>
                <c:pt idx="136">
                  <c:v>653</c:v>
                </c:pt>
                <c:pt idx="137">
                  <c:v>651</c:v>
                </c:pt>
                <c:pt idx="138">
                  <c:v>645</c:v>
                </c:pt>
                <c:pt idx="139">
                  <c:v>643</c:v>
                </c:pt>
                <c:pt idx="140">
                  <c:v>642</c:v>
                </c:pt>
                <c:pt idx="141">
                  <c:v>628</c:v>
                </c:pt>
                <c:pt idx="142">
                  <c:v>623</c:v>
                </c:pt>
                <c:pt idx="143">
                  <c:v>609</c:v>
                </c:pt>
                <c:pt idx="144">
                  <c:v>584</c:v>
                </c:pt>
                <c:pt idx="145">
                  <c:v>576</c:v>
                </c:pt>
                <c:pt idx="146">
                  <c:v>559</c:v>
                </c:pt>
                <c:pt idx="147">
                  <c:v>557</c:v>
                </c:pt>
                <c:pt idx="148">
                  <c:v>520</c:v>
                </c:pt>
                <c:pt idx="149">
                  <c:v>513</c:v>
                </c:pt>
                <c:pt idx="150">
                  <c:v>510</c:v>
                </c:pt>
                <c:pt idx="151">
                  <c:v>508</c:v>
                </c:pt>
                <c:pt idx="152">
                  <c:v>508</c:v>
                </c:pt>
                <c:pt idx="153">
                  <c:v>505</c:v>
                </c:pt>
                <c:pt idx="154">
                  <c:v>490</c:v>
                </c:pt>
                <c:pt idx="155">
                  <c:v>485</c:v>
                </c:pt>
                <c:pt idx="156">
                  <c:v>460</c:v>
                </c:pt>
                <c:pt idx="157">
                  <c:v>454</c:v>
                </c:pt>
                <c:pt idx="158">
                  <c:v>452</c:v>
                </c:pt>
                <c:pt idx="159">
                  <c:v>443</c:v>
                </c:pt>
                <c:pt idx="160">
                  <c:v>442</c:v>
                </c:pt>
                <c:pt idx="161">
                  <c:v>437</c:v>
                </c:pt>
                <c:pt idx="162">
                  <c:v>436</c:v>
                </c:pt>
                <c:pt idx="163">
                  <c:v>422</c:v>
                </c:pt>
                <c:pt idx="164">
                  <c:v>414</c:v>
                </c:pt>
                <c:pt idx="165">
                  <c:v>405</c:v>
                </c:pt>
                <c:pt idx="166">
                  <c:v>403</c:v>
                </c:pt>
                <c:pt idx="167">
                  <c:v>393</c:v>
                </c:pt>
                <c:pt idx="168">
                  <c:v>364</c:v>
                </c:pt>
                <c:pt idx="169">
                  <c:v>362</c:v>
                </c:pt>
                <c:pt idx="170">
                  <c:v>353</c:v>
                </c:pt>
                <c:pt idx="171">
                  <c:v>350</c:v>
                </c:pt>
                <c:pt idx="172">
                  <c:v>345</c:v>
                </c:pt>
                <c:pt idx="173">
                  <c:v>337</c:v>
                </c:pt>
                <c:pt idx="174">
                  <c:v>330</c:v>
                </c:pt>
                <c:pt idx="175">
                  <c:v>308</c:v>
                </c:pt>
                <c:pt idx="176">
                  <c:v>307</c:v>
                </c:pt>
                <c:pt idx="177">
                  <c:v>278</c:v>
                </c:pt>
                <c:pt idx="178">
                  <c:v>250</c:v>
                </c:pt>
                <c:pt idx="179">
                  <c:v>248</c:v>
                </c:pt>
                <c:pt idx="180">
                  <c:v>226</c:v>
                </c:pt>
                <c:pt idx="181">
                  <c:v>224</c:v>
                </c:pt>
                <c:pt idx="182">
                  <c:v>221</c:v>
                </c:pt>
                <c:pt idx="183">
                  <c:v>215</c:v>
                </c:pt>
                <c:pt idx="184">
                  <c:v>214</c:v>
                </c:pt>
                <c:pt idx="185">
                  <c:v>201</c:v>
                </c:pt>
                <c:pt idx="186">
                  <c:v>198</c:v>
                </c:pt>
                <c:pt idx="187">
                  <c:v>198</c:v>
                </c:pt>
                <c:pt idx="188">
                  <c:v>198</c:v>
                </c:pt>
                <c:pt idx="189">
                  <c:v>191</c:v>
                </c:pt>
                <c:pt idx="190">
                  <c:v>187</c:v>
                </c:pt>
                <c:pt idx="191">
                  <c:v>171</c:v>
                </c:pt>
                <c:pt idx="192">
                  <c:v>170</c:v>
                </c:pt>
                <c:pt idx="193">
                  <c:v>160</c:v>
                </c:pt>
                <c:pt idx="194">
                  <c:v>152</c:v>
                </c:pt>
                <c:pt idx="195">
                  <c:v>144</c:v>
                </c:pt>
                <c:pt idx="196">
                  <c:v>123</c:v>
                </c:pt>
                <c:pt idx="197">
                  <c:v>119</c:v>
                </c:pt>
                <c:pt idx="198">
                  <c:v>118</c:v>
                </c:pt>
                <c:pt idx="199">
                  <c:v>115</c:v>
                </c:pt>
              </c:numCache>
            </c:numRef>
          </c:xVal>
          <c:yVal>
            <c:numRef>
              <c:f>'Engagement Summary'!$G$2:$G$201</c:f>
              <c:numCache>
                <c:formatCode>General</c:formatCode>
                <c:ptCount val="200"/>
                <c:pt idx="0">
                  <c:v>25140</c:v>
                </c:pt>
                <c:pt idx="1">
                  <c:v>10740</c:v>
                </c:pt>
                <c:pt idx="2">
                  <c:v>3314</c:v>
                </c:pt>
                <c:pt idx="3">
                  <c:v>15969</c:v>
                </c:pt>
                <c:pt idx="4">
                  <c:v>33381</c:v>
                </c:pt>
                <c:pt idx="5">
                  <c:v>11805</c:v>
                </c:pt>
                <c:pt idx="6">
                  <c:v>41215</c:v>
                </c:pt>
                <c:pt idx="7">
                  <c:v>20861</c:v>
                </c:pt>
                <c:pt idx="8">
                  <c:v>43836</c:v>
                </c:pt>
                <c:pt idx="9">
                  <c:v>36851</c:v>
                </c:pt>
                <c:pt idx="10">
                  <c:v>24018</c:v>
                </c:pt>
                <c:pt idx="11">
                  <c:v>26103</c:v>
                </c:pt>
                <c:pt idx="12">
                  <c:v>14154</c:v>
                </c:pt>
                <c:pt idx="13">
                  <c:v>31853</c:v>
                </c:pt>
                <c:pt idx="14">
                  <c:v>22713</c:v>
                </c:pt>
                <c:pt idx="15">
                  <c:v>14548</c:v>
                </c:pt>
                <c:pt idx="16">
                  <c:v>1810</c:v>
                </c:pt>
                <c:pt idx="17">
                  <c:v>40478</c:v>
                </c:pt>
                <c:pt idx="18">
                  <c:v>36095</c:v>
                </c:pt>
                <c:pt idx="19">
                  <c:v>46643</c:v>
                </c:pt>
                <c:pt idx="20">
                  <c:v>4313</c:v>
                </c:pt>
                <c:pt idx="21">
                  <c:v>9118</c:v>
                </c:pt>
                <c:pt idx="22">
                  <c:v>30635</c:v>
                </c:pt>
                <c:pt idx="23">
                  <c:v>20042</c:v>
                </c:pt>
                <c:pt idx="24">
                  <c:v>22728</c:v>
                </c:pt>
                <c:pt idx="25">
                  <c:v>39272</c:v>
                </c:pt>
                <c:pt idx="26">
                  <c:v>46670</c:v>
                </c:pt>
                <c:pt idx="27">
                  <c:v>22206</c:v>
                </c:pt>
                <c:pt idx="28">
                  <c:v>43122</c:v>
                </c:pt>
                <c:pt idx="29">
                  <c:v>28498</c:v>
                </c:pt>
                <c:pt idx="30">
                  <c:v>44321</c:v>
                </c:pt>
                <c:pt idx="31">
                  <c:v>24494</c:v>
                </c:pt>
                <c:pt idx="32">
                  <c:v>14090</c:v>
                </c:pt>
                <c:pt idx="33">
                  <c:v>32763</c:v>
                </c:pt>
                <c:pt idx="34">
                  <c:v>7924</c:v>
                </c:pt>
                <c:pt idx="35">
                  <c:v>36103</c:v>
                </c:pt>
                <c:pt idx="36">
                  <c:v>14216</c:v>
                </c:pt>
                <c:pt idx="37">
                  <c:v>24913</c:v>
                </c:pt>
                <c:pt idx="38">
                  <c:v>22996</c:v>
                </c:pt>
                <c:pt idx="39">
                  <c:v>11383</c:v>
                </c:pt>
                <c:pt idx="40">
                  <c:v>2798</c:v>
                </c:pt>
                <c:pt idx="41">
                  <c:v>18656</c:v>
                </c:pt>
                <c:pt idx="42">
                  <c:v>35801</c:v>
                </c:pt>
                <c:pt idx="43">
                  <c:v>26663</c:v>
                </c:pt>
                <c:pt idx="44">
                  <c:v>13316</c:v>
                </c:pt>
                <c:pt idx="45">
                  <c:v>42832</c:v>
                </c:pt>
                <c:pt idx="46">
                  <c:v>16149</c:v>
                </c:pt>
                <c:pt idx="47">
                  <c:v>10825</c:v>
                </c:pt>
                <c:pt idx="48">
                  <c:v>30671</c:v>
                </c:pt>
                <c:pt idx="49">
                  <c:v>37903</c:v>
                </c:pt>
                <c:pt idx="50">
                  <c:v>47101</c:v>
                </c:pt>
                <c:pt idx="51">
                  <c:v>36397</c:v>
                </c:pt>
                <c:pt idx="52">
                  <c:v>24384</c:v>
                </c:pt>
                <c:pt idx="53">
                  <c:v>18601</c:v>
                </c:pt>
                <c:pt idx="54">
                  <c:v>16443</c:v>
                </c:pt>
                <c:pt idx="55">
                  <c:v>20692</c:v>
                </c:pt>
                <c:pt idx="56">
                  <c:v>19119</c:v>
                </c:pt>
                <c:pt idx="57">
                  <c:v>39931</c:v>
                </c:pt>
                <c:pt idx="58">
                  <c:v>22724</c:v>
                </c:pt>
                <c:pt idx="59">
                  <c:v>30428</c:v>
                </c:pt>
                <c:pt idx="60">
                  <c:v>30270</c:v>
                </c:pt>
                <c:pt idx="61">
                  <c:v>36484</c:v>
                </c:pt>
                <c:pt idx="62">
                  <c:v>3455</c:v>
                </c:pt>
                <c:pt idx="63">
                  <c:v>49772</c:v>
                </c:pt>
                <c:pt idx="64">
                  <c:v>30575</c:v>
                </c:pt>
                <c:pt idx="65">
                  <c:v>42964</c:v>
                </c:pt>
                <c:pt idx="66">
                  <c:v>37829</c:v>
                </c:pt>
                <c:pt idx="67">
                  <c:v>5914</c:v>
                </c:pt>
                <c:pt idx="68">
                  <c:v>43999</c:v>
                </c:pt>
                <c:pt idx="69">
                  <c:v>10217</c:v>
                </c:pt>
                <c:pt idx="70">
                  <c:v>14722</c:v>
                </c:pt>
                <c:pt idx="71">
                  <c:v>26067</c:v>
                </c:pt>
                <c:pt idx="72">
                  <c:v>7875</c:v>
                </c:pt>
                <c:pt idx="73">
                  <c:v>33799</c:v>
                </c:pt>
                <c:pt idx="74">
                  <c:v>29116</c:v>
                </c:pt>
                <c:pt idx="75">
                  <c:v>22482</c:v>
                </c:pt>
                <c:pt idx="76">
                  <c:v>40868</c:v>
                </c:pt>
                <c:pt idx="77">
                  <c:v>9566</c:v>
                </c:pt>
                <c:pt idx="78">
                  <c:v>47603</c:v>
                </c:pt>
                <c:pt idx="79">
                  <c:v>9942</c:v>
                </c:pt>
                <c:pt idx="80">
                  <c:v>23489</c:v>
                </c:pt>
                <c:pt idx="81">
                  <c:v>37876</c:v>
                </c:pt>
                <c:pt idx="82">
                  <c:v>20560</c:v>
                </c:pt>
                <c:pt idx="83">
                  <c:v>31280</c:v>
                </c:pt>
                <c:pt idx="84">
                  <c:v>32500</c:v>
                </c:pt>
                <c:pt idx="85">
                  <c:v>38883</c:v>
                </c:pt>
                <c:pt idx="86">
                  <c:v>6915</c:v>
                </c:pt>
                <c:pt idx="87">
                  <c:v>21205</c:v>
                </c:pt>
                <c:pt idx="88">
                  <c:v>7705</c:v>
                </c:pt>
                <c:pt idx="89">
                  <c:v>40323</c:v>
                </c:pt>
                <c:pt idx="90">
                  <c:v>47502</c:v>
                </c:pt>
                <c:pt idx="91">
                  <c:v>8471</c:v>
                </c:pt>
                <c:pt idx="92">
                  <c:v>44097</c:v>
                </c:pt>
                <c:pt idx="93">
                  <c:v>35359</c:v>
                </c:pt>
                <c:pt idx="94">
                  <c:v>5904</c:v>
                </c:pt>
                <c:pt idx="95">
                  <c:v>9480</c:v>
                </c:pt>
                <c:pt idx="96">
                  <c:v>21539</c:v>
                </c:pt>
                <c:pt idx="97">
                  <c:v>4683</c:v>
                </c:pt>
                <c:pt idx="98">
                  <c:v>14203</c:v>
                </c:pt>
                <c:pt idx="99">
                  <c:v>14068</c:v>
                </c:pt>
                <c:pt idx="100">
                  <c:v>47812</c:v>
                </c:pt>
                <c:pt idx="101">
                  <c:v>39031</c:v>
                </c:pt>
                <c:pt idx="102">
                  <c:v>11329</c:v>
                </c:pt>
                <c:pt idx="103">
                  <c:v>45380</c:v>
                </c:pt>
                <c:pt idx="104">
                  <c:v>7541</c:v>
                </c:pt>
                <c:pt idx="105">
                  <c:v>23140</c:v>
                </c:pt>
                <c:pt idx="106">
                  <c:v>37132</c:v>
                </c:pt>
                <c:pt idx="107">
                  <c:v>49558</c:v>
                </c:pt>
                <c:pt idx="108">
                  <c:v>23461</c:v>
                </c:pt>
                <c:pt idx="109">
                  <c:v>2932</c:v>
                </c:pt>
                <c:pt idx="110">
                  <c:v>18693</c:v>
                </c:pt>
                <c:pt idx="111">
                  <c:v>4996</c:v>
                </c:pt>
                <c:pt idx="112">
                  <c:v>10002</c:v>
                </c:pt>
                <c:pt idx="113">
                  <c:v>48270</c:v>
                </c:pt>
                <c:pt idx="114">
                  <c:v>18050</c:v>
                </c:pt>
                <c:pt idx="115">
                  <c:v>15045</c:v>
                </c:pt>
                <c:pt idx="116">
                  <c:v>15071</c:v>
                </c:pt>
                <c:pt idx="117">
                  <c:v>8718</c:v>
                </c:pt>
                <c:pt idx="118">
                  <c:v>30214</c:v>
                </c:pt>
                <c:pt idx="119">
                  <c:v>49400</c:v>
                </c:pt>
                <c:pt idx="120">
                  <c:v>3582</c:v>
                </c:pt>
                <c:pt idx="121">
                  <c:v>12384</c:v>
                </c:pt>
                <c:pt idx="122">
                  <c:v>1083</c:v>
                </c:pt>
                <c:pt idx="123">
                  <c:v>17951</c:v>
                </c:pt>
                <c:pt idx="124">
                  <c:v>26452</c:v>
                </c:pt>
                <c:pt idx="125">
                  <c:v>21939</c:v>
                </c:pt>
                <c:pt idx="126">
                  <c:v>6832</c:v>
                </c:pt>
                <c:pt idx="127">
                  <c:v>12148</c:v>
                </c:pt>
                <c:pt idx="128">
                  <c:v>15476</c:v>
                </c:pt>
                <c:pt idx="129">
                  <c:v>46625</c:v>
                </c:pt>
                <c:pt idx="130">
                  <c:v>12646</c:v>
                </c:pt>
                <c:pt idx="131">
                  <c:v>32393</c:v>
                </c:pt>
                <c:pt idx="132">
                  <c:v>32478</c:v>
                </c:pt>
                <c:pt idx="133">
                  <c:v>21208</c:v>
                </c:pt>
                <c:pt idx="134">
                  <c:v>23853</c:v>
                </c:pt>
                <c:pt idx="135">
                  <c:v>9920</c:v>
                </c:pt>
                <c:pt idx="136">
                  <c:v>15353</c:v>
                </c:pt>
                <c:pt idx="137">
                  <c:v>45708</c:v>
                </c:pt>
                <c:pt idx="138">
                  <c:v>49303</c:v>
                </c:pt>
                <c:pt idx="139">
                  <c:v>7285</c:v>
                </c:pt>
                <c:pt idx="140">
                  <c:v>13116</c:v>
                </c:pt>
                <c:pt idx="141">
                  <c:v>5391</c:v>
                </c:pt>
                <c:pt idx="142">
                  <c:v>39923</c:v>
                </c:pt>
                <c:pt idx="143">
                  <c:v>21453</c:v>
                </c:pt>
                <c:pt idx="144">
                  <c:v>26752</c:v>
                </c:pt>
                <c:pt idx="145">
                  <c:v>16804</c:v>
                </c:pt>
                <c:pt idx="146">
                  <c:v>2436</c:v>
                </c:pt>
                <c:pt idx="147">
                  <c:v>25797</c:v>
                </c:pt>
                <c:pt idx="148">
                  <c:v>20733</c:v>
                </c:pt>
                <c:pt idx="149">
                  <c:v>39997</c:v>
                </c:pt>
                <c:pt idx="150">
                  <c:v>30987</c:v>
                </c:pt>
                <c:pt idx="151">
                  <c:v>17328</c:v>
                </c:pt>
                <c:pt idx="152">
                  <c:v>42824</c:v>
                </c:pt>
                <c:pt idx="153">
                  <c:v>42307</c:v>
                </c:pt>
                <c:pt idx="154">
                  <c:v>49077</c:v>
                </c:pt>
                <c:pt idx="155">
                  <c:v>33258</c:v>
                </c:pt>
                <c:pt idx="156">
                  <c:v>49372</c:v>
                </c:pt>
                <c:pt idx="157">
                  <c:v>9269</c:v>
                </c:pt>
                <c:pt idx="158">
                  <c:v>40888</c:v>
                </c:pt>
                <c:pt idx="159">
                  <c:v>47462</c:v>
                </c:pt>
                <c:pt idx="160">
                  <c:v>20059</c:v>
                </c:pt>
                <c:pt idx="161">
                  <c:v>4509</c:v>
                </c:pt>
                <c:pt idx="162">
                  <c:v>8912</c:v>
                </c:pt>
                <c:pt idx="163">
                  <c:v>32929</c:v>
                </c:pt>
                <c:pt idx="164">
                  <c:v>6742</c:v>
                </c:pt>
                <c:pt idx="165">
                  <c:v>48419</c:v>
                </c:pt>
                <c:pt idx="166">
                  <c:v>24313</c:v>
                </c:pt>
                <c:pt idx="167">
                  <c:v>6296</c:v>
                </c:pt>
                <c:pt idx="168">
                  <c:v>21061</c:v>
                </c:pt>
                <c:pt idx="169">
                  <c:v>37636</c:v>
                </c:pt>
                <c:pt idx="170">
                  <c:v>11035</c:v>
                </c:pt>
                <c:pt idx="171">
                  <c:v>38610</c:v>
                </c:pt>
                <c:pt idx="172">
                  <c:v>20553</c:v>
                </c:pt>
                <c:pt idx="173">
                  <c:v>4007</c:v>
                </c:pt>
                <c:pt idx="174">
                  <c:v>39530</c:v>
                </c:pt>
                <c:pt idx="175">
                  <c:v>1783</c:v>
                </c:pt>
                <c:pt idx="176">
                  <c:v>27822</c:v>
                </c:pt>
                <c:pt idx="177">
                  <c:v>22373</c:v>
                </c:pt>
                <c:pt idx="178">
                  <c:v>2315</c:v>
                </c:pt>
                <c:pt idx="179">
                  <c:v>26925</c:v>
                </c:pt>
                <c:pt idx="180">
                  <c:v>9566</c:v>
                </c:pt>
                <c:pt idx="181">
                  <c:v>28474</c:v>
                </c:pt>
                <c:pt idx="182">
                  <c:v>10283</c:v>
                </c:pt>
                <c:pt idx="183">
                  <c:v>35501</c:v>
                </c:pt>
                <c:pt idx="184">
                  <c:v>26455</c:v>
                </c:pt>
                <c:pt idx="185">
                  <c:v>33174</c:v>
                </c:pt>
                <c:pt idx="186">
                  <c:v>11901</c:v>
                </c:pt>
                <c:pt idx="187">
                  <c:v>2293</c:v>
                </c:pt>
                <c:pt idx="188">
                  <c:v>25920</c:v>
                </c:pt>
                <c:pt idx="189">
                  <c:v>15827</c:v>
                </c:pt>
                <c:pt idx="190">
                  <c:v>29533</c:v>
                </c:pt>
                <c:pt idx="191">
                  <c:v>38452</c:v>
                </c:pt>
                <c:pt idx="192">
                  <c:v>43420</c:v>
                </c:pt>
                <c:pt idx="193">
                  <c:v>4839</c:v>
                </c:pt>
                <c:pt idx="194">
                  <c:v>18001</c:v>
                </c:pt>
                <c:pt idx="195">
                  <c:v>30060</c:v>
                </c:pt>
                <c:pt idx="196">
                  <c:v>5442</c:v>
                </c:pt>
                <c:pt idx="197">
                  <c:v>12174</c:v>
                </c:pt>
                <c:pt idx="198">
                  <c:v>12350</c:v>
                </c:pt>
                <c:pt idx="199">
                  <c:v>25525</c:v>
                </c:pt>
              </c:numCache>
            </c:numRef>
          </c:yVal>
          <c:smooth val="0"/>
          <c:extLst>
            <c:ext xmlns:c16="http://schemas.microsoft.com/office/drawing/2014/chart" uri="{C3380CC4-5D6E-409C-BE32-E72D297353CC}">
              <c16:uniqueId val="{00000000-73DA-4722-A3FE-481B3CBCE040}"/>
            </c:ext>
          </c:extLst>
        </c:ser>
        <c:dLbls>
          <c:showLegendKey val="0"/>
          <c:showVal val="0"/>
          <c:showCatName val="0"/>
          <c:showSerName val="0"/>
          <c:showPercent val="0"/>
          <c:showBubbleSize val="0"/>
        </c:dLbls>
        <c:axId val="1506128719"/>
        <c:axId val="1506125807"/>
      </c:scatterChart>
      <c:valAx>
        <c:axId val="1506128719"/>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Follower Growth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6125807"/>
        <c:crosses val="autoZero"/>
        <c:crossBetween val="midCat"/>
      </c:valAx>
      <c:valAx>
        <c:axId val="1506125807"/>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Ad spend</a:t>
                </a:r>
              </a:p>
            </c:rich>
          </c:tx>
          <c:layout>
            <c:manualLayout>
              <c:xMode val="edge"/>
              <c:yMode val="edge"/>
              <c:x val="1.3707165109034268E-2"/>
              <c:y val="0.4174887088994543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61287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0</xdr:rowOff>
    </xdr:from>
    <xdr:to>
      <xdr:col>14</xdr:col>
      <xdr:colOff>504825</xdr:colOff>
      <xdr:row>20</xdr:row>
      <xdr:rowOff>180975</xdr:rowOff>
    </xdr:to>
    <xdr:graphicFrame macro="">
      <xdr:nvGraphicFramePr>
        <xdr:cNvPr id="2" name="Chart 1">
          <a:extLst>
            <a:ext uri="{FF2B5EF4-FFF2-40B4-BE49-F238E27FC236}">
              <a16:creationId xmlns:a16="http://schemas.microsoft.com/office/drawing/2014/main" id="{AC9E35C7-CB9E-40F4-A55E-09E24BB1B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xdr:colOff>
      <xdr:row>0</xdr:row>
      <xdr:rowOff>66675</xdr:rowOff>
    </xdr:from>
    <xdr:to>
      <xdr:col>14</xdr:col>
      <xdr:colOff>161924</xdr:colOff>
      <xdr:row>22</xdr:row>
      <xdr:rowOff>180975</xdr:rowOff>
    </xdr:to>
    <xdr:graphicFrame macro="">
      <xdr:nvGraphicFramePr>
        <xdr:cNvPr id="2" name="Chart 1">
          <a:extLst>
            <a:ext uri="{FF2B5EF4-FFF2-40B4-BE49-F238E27FC236}">
              <a16:creationId xmlns:a16="http://schemas.microsoft.com/office/drawing/2014/main" id="{156D124F-C733-4C58-8E78-8F023B362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180974</xdr:colOff>
      <xdr:row>0</xdr:row>
      <xdr:rowOff>0</xdr:rowOff>
    </xdr:from>
    <xdr:to>
      <xdr:col>16</xdr:col>
      <xdr:colOff>457199</xdr:colOff>
      <xdr:row>22</xdr:row>
      <xdr:rowOff>90488</xdr:rowOff>
    </xdr:to>
    <xdr:graphicFrame macro="">
      <xdr:nvGraphicFramePr>
        <xdr:cNvPr id="2" name="Chart 1">
          <a:extLst>
            <a:ext uri="{FF2B5EF4-FFF2-40B4-BE49-F238E27FC236}">
              <a16:creationId xmlns:a16="http://schemas.microsoft.com/office/drawing/2014/main" id="{CBA40D06-A0AB-4740-9165-B5B857AFE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85725</xdr:colOff>
      <xdr:row>0</xdr:row>
      <xdr:rowOff>171450</xdr:rowOff>
    </xdr:from>
    <xdr:to>
      <xdr:col>5</xdr:col>
      <xdr:colOff>85725</xdr:colOff>
      <xdr:row>14</xdr:row>
      <xdr:rowOff>28575</xdr:rowOff>
    </xdr:to>
    <mc:AlternateContent xmlns:mc="http://schemas.openxmlformats.org/markup-compatibility/2006" xmlns:a14="http://schemas.microsoft.com/office/drawing/2010/main">
      <mc:Choice Requires="a14">
        <xdr:graphicFrame macro="">
          <xdr:nvGraphicFramePr>
            <xdr:cNvPr id="2" name="Individual Hashtags">
              <a:extLst>
                <a:ext uri="{FF2B5EF4-FFF2-40B4-BE49-F238E27FC236}">
                  <a16:creationId xmlns:a16="http://schemas.microsoft.com/office/drawing/2014/main" id="{B0459F73-7B70-42EB-BF80-4D206E985F16}"/>
                </a:ext>
              </a:extLst>
            </xdr:cNvPr>
            <xdr:cNvGraphicFramePr/>
          </xdr:nvGraphicFramePr>
          <xdr:xfrm>
            <a:off x="0" y="0"/>
            <a:ext cx="0" cy="0"/>
          </xdr:xfrm>
          <a:graphic>
            <a:graphicData uri="http://schemas.microsoft.com/office/drawing/2010/slicer">
              <sle:slicer xmlns:sle="http://schemas.microsoft.com/office/drawing/2010/slicer" name="Individual Hashtags"/>
            </a:graphicData>
          </a:graphic>
        </xdr:graphicFrame>
      </mc:Choice>
      <mc:Fallback xmlns="">
        <xdr:sp macro="" textlink="">
          <xdr:nvSpPr>
            <xdr:cNvPr id="0" name=""/>
            <xdr:cNvSpPr>
              <a:spLocks noTextEdit="1"/>
            </xdr:cNvSpPr>
          </xdr:nvSpPr>
          <xdr:spPr>
            <a:xfrm>
              <a:off x="3476625"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47625</xdr:colOff>
      <xdr:row>1</xdr:row>
      <xdr:rowOff>19050</xdr:rowOff>
    </xdr:from>
    <xdr:to>
      <xdr:col>6</xdr:col>
      <xdr:colOff>581025</xdr:colOff>
      <xdr:row>9</xdr:row>
      <xdr:rowOff>104775</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2D9FC16A-4E6E-411C-A1E1-1335F84380FA}"/>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419600" y="219075"/>
              <a:ext cx="17526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0</xdr:row>
      <xdr:rowOff>19050</xdr:rowOff>
    </xdr:from>
    <xdr:to>
      <xdr:col>13</xdr:col>
      <xdr:colOff>590550</xdr:colOff>
      <xdr:row>21</xdr:row>
      <xdr:rowOff>104775</xdr:rowOff>
    </xdr:to>
    <xdr:graphicFrame macro="">
      <xdr:nvGraphicFramePr>
        <xdr:cNvPr id="2" name="Chart 1">
          <a:extLst>
            <a:ext uri="{FF2B5EF4-FFF2-40B4-BE49-F238E27FC236}">
              <a16:creationId xmlns:a16="http://schemas.microsoft.com/office/drawing/2014/main" id="{C4AB1C8C-E2F0-45A1-AEA2-68407F270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390525</xdr:colOff>
      <xdr:row>3</xdr:row>
      <xdr:rowOff>9525</xdr:rowOff>
    </xdr:from>
    <xdr:to>
      <xdr:col>17</xdr:col>
      <xdr:colOff>47625</xdr:colOff>
      <xdr:row>16</xdr:row>
      <xdr:rowOff>28575</xdr:rowOff>
    </xdr:to>
    <mc:AlternateContent xmlns:mc="http://schemas.openxmlformats.org/markup-compatibility/2006" xmlns:a14="http://schemas.microsoft.com/office/drawing/2010/main">
      <mc:Choice Requires="a14">
        <xdr:graphicFrame macro="">
          <xdr:nvGraphicFramePr>
            <xdr:cNvPr id="3" name="Week_Start_Date">
              <a:extLst>
                <a:ext uri="{FF2B5EF4-FFF2-40B4-BE49-F238E27FC236}">
                  <a16:creationId xmlns:a16="http://schemas.microsoft.com/office/drawing/2014/main" id="{CA6E563C-79E3-423A-83FF-B70DBC544BD4}"/>
                </a:ext>
              </a:extLst>
            </xdr:cNvPr>
            <xdr:cNvGraphicFramePr/>
          </xdr:nvGraphicFramePr>
          <xdr:xfrm>
            <a:off x="0" y="0"/>
            <a:ext cx="0" cy="0"/>
          </xdr:xfrm>
          <a:graphic>
            <a:graphicData uri="http://schemas.microsoft.com/office/drawing/2010/slicer">
              <sle:slicer xmlns:sle="http://schemas.microsoft.com/office/drawing/2010/slicer" name="Week_Start_Date"/>
            </a:graphicData>
          </a:graphic>
        </xdr:graphicFrame>
      </mc:Choice>
      <mc:Fallback xmlns="">
        <xdr:sp macro="" textlink="">
          <xdr:nvSpPr>
            <xdr:cNvPr id="0" name=""/>
            <xdr:cNvSpPr>
              <a:spLocks noTextEdit="1"/>
            </xdr:cNvSpPr>
          </xdr:nvSpPr>
          <xdr:spPr>
            <a:xfrm>
              <a:off x="10772775" y="581025"/>
              <a:ext cx="1743075"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xdr:colOff>
      <xdr:row>2</xdr:row>
      <xdr:rowOff>4762</xdr:rowOff>
    </xdr:from>
    <xdr:to>
      <xdr:col>14</xdr:col>
      <xdr:colOff>409575</xdr:colOff>
      <xdr:row>19</xdr:row>
      <xdr:rowOff>133350</xdr:rowOff>
    </xdr:to>
    <xdr:graphicFrame macro="">
      <xdr:nvGraphicFramePr>
        <xdr:cNvPr id="4" name="Chart 3">
          <a:extLst>
            <a:ext uri="{FF2B5EF4-FFF2-40B4-BE49-F238E27FC236}">
              <a16:creationId xmlns:a16="http://schemas.microsoft.com/office/drawing/2014/main" id="{8C9AD05F-4688-4104-8BC5-AE958B1CD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19050</xdr:colOff>
      <xdr:row>3</xdr:row>
      <xdr:rowOff>33336</xdr:rowOff>
    </xdr:from>
    <xdr:to>
      <xdr:col>13</xdr:col>
      <xdr:colOff>476250</xdr:colOff>
      <xdr:row>19</xdr:row>
      <xdr:rowOff>190499</xdr:rowOff>
    </xdr:to>
    <xdr:graphicFrame macro="">
      <xdr:nvGraphicFramePr>
        <xdr:cNvPr id="2" name="Chart 1">
          <a:extLst>
            <a:ext uri="{FF2B5EF4-FFF2-40B4-BE49-F238E27FC236}">
              <a16:creationId xmlns:a16="http://schemas.microsoft.com/office/drawing/2014/main" id="{54A24FC8-A606-419E-AE62-DABE7A180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190501</xdr:colOff>
      <xdr:row>0</xdr:row>
      <xdr:rowOff>95249</xdr:rowOff>
    </xdr:from>
    <xdr:to>
      <xdr:col>11</xdr:col>
      <xdr:colOff>742951</xdr:colOff>
      <xdr:row>21</xdr:row>
      <xdr:rowOff>85724</xdr:rowOff>
    </xdr:to>
    <xdr:graphicFrame macro="">
      <xdr:nvGraphicFramePr>
        <xdr:cNvPr id="2" name="Chart 1">
          <a:extLst>
            <a:ext uri="{FF2B5EF4-FFF2-40B4-BE49-F238E27FC236}">
              <a16:creationId xmlns:a16="http://schemas.microsoft.com/office/drawing/2014/main" id="{71C16AC5-62D8-4B04-ACBD-E9DAEE60B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099.670458101849" createdVersion="7" refreshedVersion="7" minRefreshableVersion="3" recordCount="1001" xr:uid="{6C7D7129-283C-439C-866F-58FDCE9D102A}">
  <cacheSource type="worksheet">
    <worksheetSource ref="A1:O1048576" sheet="Posts"/>
  </cacheSource>
  <cacheFields count="15">
    <cacheField name="Post ID" numFmtId="0">
      <sharedItems containsBlank="1" count="301">
        <s v="P220"/>
        <s v="P058"/>
        <s v="P232"/>
        <s v="P178"/>
        <s v="P175"/>
        <s v="P062"/>
        <s v="P264"/>
        <s v="P143"/>
        <s v="P210"/>
        <s v="P070"/>
        <s v="P214"/>
        <s v="P053"/>
        <s v="P102"/>
        <s v="P124"/>
        <s v="P121"/>
        <s v="P224"/>
        <s v="P154"/>
        <s v="P119"/>
        <s v="P287"/>
        <s v="P204"/>
        <s v="P066"/>
        <s v="P183"/>
        <s v="P031"/>
        <s v="P093"/>
        <s v="P263"/>
        <s v="P248"/>
        <s v="P244"/>
        <s v="P259"/>
        <s v="P219"/>
        <s v="P226"/>
        <s v="P265"/>
        <s v="P239"/>
        <s v="P277"/>
        <s v="P297"/>
        <s v="P181"/>
        <s v="P246"/>
        <s v="P123"/>
        <s v="P120"/>
        <s v="P141"/>
        <s v="P163"/>
        <s v="P269"/>
        <s v="P042"/>
        <s v="P043"/>
        <s v="P159"/>
        <s v="P146"/>
        <s v="P029"/>
        <s v="P137"/>
        <s v="P087"/>
        <s v="P271"/>
        <s v="P077"/>
        <s v="P136"/>
        <s v="P258"/>
        <s v="P276"/>
        <s v="P148"/>
        <s v="P198"/>
        <s v="P152"/>
        <s v="P286"/>
        <s v="P068"/>
        <s v="P085"/>
        <s v="P032"/>
        <s v="P218"/>
        <s v="P211"/>
        <s v="P242"/>
        <s v="P041"/>
        <s v="P294"/>
        <s v="P006"/>
        <s v="P153"/>
        <s v="P037"/>
        <s v="P241"/>
        <s v="P112"/>
        <s v="P129"/>
        <s v="P028"/>
        <s v="P046"/>
        <s v="P089"/>
        <s v="P094"/>
        <s v="P116"/>
        <s v="P275"/>
        <s v="P109"/>
        <s v="P047"/>
        <s v="P295"/>
        <s v="P054"/>
        <s v="P060"/>
        <s v="P083"/>
        <s v="P138"/>
        <s v="P221"/>
        <s v="P252"/>
        <s v="P052"/>
        <s v="P140"/>
        <s v="P165"/>
        <s v="P164"/>
        <s v="P262"/>
        <s v="P147"/>
        <s v="P004"/>
        <s v="P014"/>
        <s v="P192"/>
        <s v="P173"/>
        <s v="P166"/>
        <s v="P207"/>
        <s v="P061"/>
        <s v="P125"/>
        <s v="P272"/>
        <s v="P040"/>
        <s v="P299"/>
        <s v="P174"/>
        <s v="P104"/>
        <s v="P195"/>
        <s v="P184"/>
        <s v="P092"/>
        <s v="P088"/>
        <s v="P285"/>
        <s v="P050"/>
        <s v="P132"/>
        <s v="P229"/>
        <s v="P074"/>
        <s v="P254"/>
        <s v="P131"/>
        <s v="P236"/>
        <s v="P114"/>
        <s v="P056"/>
        <s v="P105"/>
        <s v="P012"/>
        <s v="P235"/>
        <s v="P033"/>
        <s v="P038"/>
        <s v="P196"/>
        <s v="P128"/>
        <s v="P169"/>
        <s v="P293"/>
        <s v="P292"/>
        <s v="P212"/>
        <s v="P110"/>
        <s v="P245"/>
        <s v="P075"/>
        <s v="P255"/>
        <s v="P071"/>
        <s v="P065"/>
        <s v="P247"/>
        <s v="P035"/>
        <s v="P117"/>
        <s v="P251"/>
        <s v="P011"/>
        <s v="P161"/>
        <s v="P155"/>
        <s v="P284"/>
        <s v="P113"/>
        <s v="P158"/>
        <s v="P098"/>
        <s v="P227"/>
        <s v="P222"/>
        <s v="P278"/>
        <s v="P151"/>
        <s v="P156"/>
        <s v="P157"/>
        <s v="P206"/>
        <s v="P282"/>
        <s v="P049"/>
        <s v="P205"/>
        <s v="P008"/>
        <s v="P096"/>
        <s v="P018"/>
        <s v="P182"/>
        <s v="P266"/>
        <s v="P019"/>
        <s v="P108"/>
        <s v="P126"/>
        <s v="P103"/>
        <s v="P191"/>
        <s v="P193"/>
        <s v="P167"/>
        <s v="P044"/>
        <s v="P171"/>
        <s v="P273"/>
        <s v="P243"/>
        <s v="P185"/>
        <s v="P081"/>
        <s v="P017"/>
        <s v="P139"/>
        <s v="P069"/>
        <s v="P059"/>
        <s v="P100"/>
        <s v="P055"/>
        <s v="P177"/>
        <s v="P160"/>
        <s v="P001"/>
        <s v="P201"/>
        <s v="P180"/>
        <s v="P026"/>
        <s v="P130"/>
        <s v="P079"/>
        <s v="P072"/>
        <s v="P009"/>
        <s v="P260"/>
        <s v="P249"/>
        <s v="P097"/>
        <s v="P253"/>
        <s v="P084"/>
        <s v="P162"/>
        <s v="P208"/>
        <s v="P240"/>
        <s v="P231"/>
        <s v="P106"/>
        <s v="P082"/>
        <s v="P199"/>
        <s v="P188"/>
        <s v="P186"/>
        <s v="P194"/>
        <s v="P268"/>
        <s v="P290"/>
        <s v="P187"/>
        <s v="P300"/>
        <s v="P280"/>
        <s v="P261"/>
        <s v="P209"/>
        <s v="P213"/>
        <s v="P202"/>
        <s v="P078"/>
        <s v="P064"/>
        <s v="P228"/>
        <s v="P076"/>
        <s v="P057"/>
        <s v="P122"/>
        <s v="P022"/>
        <s v="P118"/>
        <s v="P257"/>
        <s v="P091"/>
        <s v="P274"/>
        <s v="P051"/>
        <s v="P080"/>
        <s v="P230"/>
        <s v="P149"/>
        <s v="P021"/>
        <s v="P023"/>
        <s v="P036"/>
        <s v="P002"/>
        <s v="P234"/>
        <s v="P013"/>
        <s v="P016"/>
        <s v="P179"/>
        <s v="P045"/>
        <s v="P168"/>
        <s v="P111"/>
        <s v="P101"/>
        <s v="P048"/>
        <s v="P250"/>
        <s v="P289"/>
        <s v="P233"/>
        <s v="P172"/>
        <s v="P238"/>
        <s v="P189"/>
        <s v="P039"/>
        <s v="P215"/>
        <s v="P024"/>
        <s v="P099"/>
        <s v="P010"/>
        <s v="P291"/>
        <s v="P133"/>
        <s v="P027"/>
        <s v="P134"/>
        <s v="P090"/>
        <s v="P034"/>
        <s v="P007"/>
        <s v="P142"/>
        <s v="P127"/>
        <s v="P170"/>
        <s v="P095"/>
        <s v="P288"/>
        <s v="P237"/>
        <s v="P270"/>
        <s v="P005"/>
        <s v="P086"/>
        <s v="P144"/>
        <s v="P197"/>
        <s v="P135"/>
        <s v="P073"/>
        <s v="P267"/>
        <s v="P020"/>
        <s v="P067"/>
        <s v="P150"/>
        <s v="P281"/>
        <s v="P217"/>
        <s v="P200"/>
        <s v="P107"/>
        <s v="P115"/>
        <s v="P223"/>
        <s v="P279"/>
        <s v="P025"/>
        <s v="P015"/>
        <s v="P296"/>
        <s v="P298"/>
        <s v="P216"/>
        <s v="P283"/>
        <s v="P256"/>
        <s v="P030"/>
        <s v="P203"/>
        <s v="P225"/>
        <s v="P145"/>
        <s v="P190"/>
        <s v="P003"/>
        <s v="P176"/>
        <s v="P063"/>
        <m/>
      </sharedItems>
    </cacheField>
    <cacheField name="Platform" numFmtId="0">
      <sharedItems containsBlank="1" count="5">
        <s v="Instagram"/>
        <s v="Twitter"/>
        <s v="YouTube"/>
        <s v="Facebook"/>
        <m/>
      </sharedItems>
    </cacheField>
    <cacheField name="Date" numFmtId="14">
      <sharedItems containsBlank="1"/>
    </cacheField>
    <cacheField name="Content Type" numFmtId="0">
      <sharedItems containsBlank="1" count="7">
        <s v="Story"/>
        <s v="Reel"/>
        <s v="Video"/>
        <s v="Carousel"/>
        <s v="Image"/>
        <s v="Text"/>
        <m/>
      </sharedItems>
    </cacheField>
    <cacheField name="Post Text" numFmtId="0">
      <sharedItems containsBlank="1" count="25">
        <s v="Check out our latest story on instagram!"/>
        <s v="Check out our latest reel on instagram!"/>
        <s v="Check out our latest story on twitter!"/>
        <s v="Check out our latest video on instagram!"/>
        <s v="Check out our latest carousel on twitter!"/>
        <s v="Check out our latest image on twitter!"/>
        <s v="Check out our latest carousel on youtube!"/>
        <s v="Check out our latest image on youtube!"/>
        <s v="Check out our latest video on facebook!"/>
        <s v="Check out our latest image on instagram!"/>
        <s v="Check out our latest reel on twitter!"/>
        <s v="Check out our latest image on facebook!"/>
        <s v="Check out our latest carousel on instagram!"/>
        <s v="Check out our latest text on instagram!"/>
        <s v="Check out our latest story on facebook!"/>
        <s v="Check out our latest video on youtube!"/>
        <s v="Check out our latest text on facebook!"/>
        <s v="Check out our latest text on youtube!"/>
        <s v="Check out our latest text on twitter!"/>
        <s v="Check out our latest reel on youtube!"/>
        <s v="Check out our latest video on twitter!"/>
        <s v="Check out our latest carousel on facebook!"/>
        <s v="Check out our latest reel on facebook!"/>
        <s v="Check out our latest story on youtube!"/>
        <m/>
      </sharedItems>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164">
      <sharedItems containsString="0" containsBlank="1" containsNumber="1" containsInteger="1" minValue="588" maxValue="98100"/>
    </cacheField>
    <cacheField name="Engagement Rate" numFmtId="165">
      <sharedItems containsString="0" containsBlank="1" containsNumber="1" minValue="5.2551586421122697E-2" maxValue="1.8129251700680271"/>
    </cacheField>
    <cacheField name="Reach" numFmtId="164">
      <sharedItems containsString="0" containsBlank="1" containsNumber="1" containsInteger="1" minValue="7" maxValue="97772"/>
    </cacheField>
    <cacheField name="Clicks" numFmtId="0">
      <sharedItems containsString="0" containsBlank="1" containsNumber="1" containsInteger="1" minValue="10" maxValue="300"/>
    </cacheField>
    <cacheField name="Hashtags" numFmtId="0">
      <sharedItems containsBlank="1" count="19">
        <s v="#FutureOfDriving,#AnytimeIsTeslaTime"/>
        <s v="#TeslaCoInnovation,#BetterWithTesla"/>
        <s v="#TeslaCoInnovation"/>
        <s v="#EVRevolution"/>
        <s v="#EVRevolution,#TeslaCoInnovation"/>
        <s v="#FutureOfDriving"/>
        <s v="#TeslaCoInnovation,#AnytimeIsTeslaTime"/>
        <s v="#EVRevolution,#BetterWithTesla"/>
        <s v="#EVRevolution,#TeslaCoInnovation,#AnytimeIsTeslaTime"/>
        <s v="#FutureOfDriving,#TeslaCoInnovation,#AnytimeIsTeslaTime"/>
        <s v="#EVRevolution,#SmoothLikeNitroTesla"/>
        <s v="#EVRevolution,#AnytimeIsTeslaTime"/>
        <s v="#TeslaCoInnovation,#SmoothLikeNitroTesla"/>
        <s v="#FutureOfDriving,#SmoothLikeNitroTesla"/>
        <s v="#FutureOfDriving,#AnytimeIsTeslaTime,#EVRevolution"/>
        <s v="#FutureOfDriving,#EVRevolution,#BetterWithTesla"/>
        <s v="#EVRevolution,#EVRevolution,#BetterWithTesla"/>
        <s v="#TeslaCoInnovation,#EVRevolution,#BetterWithTesla"/>
        <m/>
      </sharedItems>
    </cacheField>
    <cacheField name="Campaign_Name" numFmtId="0">
      <sharedItems containsBlank="1" count="5">
        <s v="CybertruckLaunch"/>
        <s v="ModelYCampaign"/>
        <s v="FSDUpdate"/>
        <s v="SustainabilityDrive"/>
        <m/>
      </sharedItems>
    </cacheField>
    <cacheField name="Individual Hashtags" numFmtId="0">
      <sharedItems containsBlank="1" count="8">
        <s v="#FutureOfDriving"/>
        <s v="#AnytimeIsTeslaTime"/>
        <s v="#TeslaCoInnovation"/>
        <s v="#BetterWithTesla"/>
        <s v="#EVRevolution"/>
        <s v="#SmoothLikeNitroTesla"/>
        <s v="null"/>
        <m/>
      </sharedItems>
    </cacheField>
  </cacheFields>
  <extLst>
    <ext xmlns:x14="http://schemas.microsoft.com/office/spreadsheetml/2009/9/main" uri="{725AE2AE-9491-48be-B2B4-4EB974FC3084}">
      <x14:pivotCacheDefinition pivotCacheId="1790505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100.78285625" createdVersion="7" refreshedVersion="7" minRefreshableVersion="3" recordCount="208" xr:uid="{52449B50-B35A-461C-BA48-4185D678AB21}">
  <cacheSource type="worksheet">
    <worksheetSource ref="A1:H1048576" sheet="Engagement Summary"/>
  </cacheSource>
  <cacheFields count="8">
    <cacheField name="Week_Start_Date" numFmtId="0">
      <sharedItems containsBlank="1" count="51">
        <s v="2024-06-03"/>
        <s v="2024-06-10"/>
        <s v="2024-06-17"/>
        <s v="2024-06-24"/>
        <s v="2024-07-01"/>
        <s v="2024-07-08"/>
        <s v="2024-07-15"/>
        <s v="2024-07-22"/>
        <s v="2024-07-29"/>
        <s v="2024-08-05"/>
        <s v="2024-08-12"/>
        <s v="2024-08-19"/>
        <s v="2024-08-26"/>
        <s v="2024-09-02"/>
        <s v="2024-09-09"/>
        <s v="2024-09-16"/>
        <s v="2024-09-23"/>
        <s v="2024-09-30"/>
        <s v="2024-10-07"/>
        <s v="2024-10-14"/>
        <s v="2024-10-21"/>
        <s v="2024-10-28"/>
        <s v="2024-11-04"/>
        <s v="2024-11-11"/>
        <s v="2024-11-18"/>
        <s v="2024-11-25"/>
        <s v="2024-12-02"/>
        <s v="2024-12-09"/>
        <s v="2024-12-16"/>
        <s v="2024-12-23"/>
        <s v="2024-12-30"/>
        <s v="2025-01-06"/>
        <s v="2025-01-13"/>
        <s v="2025-01-20"/>
        <s v="2025-01-27"/>
        <s v="2025-02-03"/>
        <s v="2025-02-10"/>
        <s v="2025-02-17"/>
        <s v="2025-02-24"/>
        <s v="2025-03-03"/>
        <s v="2025-03-10"/>
        <s v="2025-03-17"/>
        <s v="2025-03-24"/>
        <s v="2025-03-31"/>
        <s v="2025-04-07"/>
        <s v="2025-04-14"/>
        <s v="2025-04-21"/>
        <s v="2025-04-28"/>
        <s v="2025-05-05"/>
        <s v="2025-05-12"/>
        <m/>
      </sharedItems>
    </cacheField>
    <cacheField name="Platform" numFmtId="0">
      <sharedItems containsBlank="1" count="5">
        <s v="Instagram"/>
        <s v="Facebook"/>
        <s v="Twitter"/>
        <s v="YouTube"/>
        <m/>
      </sharedItems>
    </cacheField>
    <cacheField name="New_Followers" numFmtId="0">
      <sharedItems containsString="0" containsBlank="1" containsNumber="1" containsInteger="1" minValue="115" maxValue="1980"/>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acheField>
    <cacheField name="Growth Rate" numFmtId="167">
      <sharedItems containsString="0" containsBlank="1" containsNumber="1" minValue="-4.0819787301048958E-3" maxValue="0.10825114265095021"/>
    </cacheField>
  </cacheFields>
  <extLst>
    <ext xmlns:x14="http://schemas.microsoft.com/office/spreadsheetml/2009/9/main" uri="{725AE2AE-9491-48be-B2B4-4EB974FC3084}">
      <x14:pivotCacheDefinition pivotCacheId="13400204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101.961075694446" createdVersion="7" refreshedVersion="7" minRefreshableVersion="3" recordCount="1001" xr:uid="{35C1216E-CD1E-414F-9F97-69CF37420DF8}">
  <cacheSource type="worksheet">
    <worksheetSource ref="A1:P1048576" sheet="Posts"/>
  </cacheSource>
  <cacheFields count="16">
    <cacheField name="Post ID" numFmtId="0">
      <sharedItems containsBlank="1"/>
    </cacheField>
    <cacheField name="Platform" numFmtId="0">
      <sharedItems containsBlank="1" count="5">
        <s v="Instagram"/>
        <s v="Twitter"/>
        <s v="YouTube"/>
        <s v="Facebook"/>
        <m/>
      </sharedItems>
    </cacheField>
    <cacheField name="Date" numFmtId="14">
      <sharedItems containsBlank="1"/>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164">
      <sharedItems containsString="0" containsBlank="1" containsNumber="1" containsInteger="1" minValue="588" maxValue="98100"/>
    </cacheField>
    <cacheField name="Engagement Rate" numFmtId="165">
      <sharedItems containsString="0" containsBlank="1" containsNumber="1" minValue="5.2551586421122697E-2" maxValue="1.8129251700680271"/>
    </cacheField>
    <cacheField name="Reach" numFmtId="164">
      <sharedItems containsString="0" containsBlank="1" containsNumber="1" containsInteger="1" minValue="7" maxValue="97772"/>
    </cacheField>
    <cacheField name="Clicks" numFmtId="0">
      <sharedItems containsString="0" containsBlank="1" containsNumber="1" containsInteger="1" minValue="10" maxValue="300"/>
    </cacheField>
    <cacheField name="Hashtags" numFmtId="0">
      <sharedItems containsBlank="1"/>
    </cacheField>
    <cacheField name="Individual Hashtags" numFmtId="0">
      <sharedItems containsBlank="1"/>
    </cacheField>
    <cacheField name="Campaign_Name" numFmtId="0">
      <sharedItems containsBlank="1"/>
    </cacheField>
    <cacheField name="Engagement" numFmtId="0">
      <sharedItems containsString="0" containsBlank="1" containsNumber="1" containsInteger="1" minValue="315" maxValue="6278" count="294">
        <n v="1066"/>
        <n v="892"/>
        <n v="1071"/>
        <n v="908"/>
        <n v="1109"/>
        <n v="513"/>
        <n v="315"/>
        <n v="522"/>
        <n v="1621"/>
        <n v="1371"/>
        <n v="1582"/>
        <n v="1486"/>
        <n v="2140"/>
        <n v="1732"/>
        <n v="1611"/>
        <n v="1352"/>
        <n v="2204"/>
        <n v="3123"/>
        <n v="2104"/>
        <n v="3319"/>
        <n v="883"/>
        <n v="1343"/>
        <n v="866"/>
        <n v="2408"/>
        <n v="3498"/>
        <n v="1165"/>
        <n v="6029"/>
        <n v="869"/>
        <n v="1832"/>
        <n v="2223"/>
        <n v="2847"/>
        <n v="5248"/>
        <n v="5245"/>
        <n v="2637"/>
        <n v="1865"/>
        <n v="1514"/>
        <n v="5152"/>
        <n v="2009"/>
        <n v="4406"/>
        <n v="5199"/>
        <n v="5053"/>
        <n v="2696"/>
        <n v="2766"/>
        <n v="3979"/>
        <n v="2721"/>
        <n v="3139"/>
        <n v="2697"/>
        <n v="4435"/>
        <n v="1785"/>
        <n v="4466"/>
        <n v="4371"/>
        <n v="1882"/>
        <n v="4926"/>
        <n v="1872"/>
        <n v="5624"/>
        <n v="3962"/>
        <n v="3024"/>
        <n v="4801"/>
        <n v="2609"/>
        <n v="2812"/>
        <n v="2370"/>
        <n v="5297"/>
        <n v="1513"/>
        <n v="5180"/>
        <n v="4230"/>
        <n v="1208"/>
        <n v="4299"/>
        <n v="5367"/>
        <n v="3072"/>
        <n v="2970"/>
        <n v="1179"/>
        <n v="1497"/>
        <n v="2615"/>
        <n v="3121"/>
        <n v="4348"/>
        <n v="2917"/>
        <n v="4277"/>
        <n v="3609"/>
        <n v="2583"/>
        <n v="3062"/>
        <n v="1940"/>
        <n v="1587"/>
        <n v="735"/>
        <n v="4984"/>
        <n v="2634"/>
        <n v="1635"/>
        <n v="2854"/>
        <n v="3493"/>
        <n v="6061"/>
        <n v="1480"/>
        <n v="3981"/>
        <n v="2905"/>
        <n v="4928"/>
        <n v="2034"/>
        <n v="2290"/>
        <n v="1695"/>
        <n v="4895"/>
        <n v="6278"/>
        <n v="4893"/>
        <n v="5621"/>
        <n v="5316"/>
        <n v="3215"/>
        <n v="4229"/>
        <n v="4509"/>
        <n v="1624"/>
        <n v="4377"/>
        <n v="5169"/>
        <n v="779"/>
        <n v="4892"/>
        <n v="2974"/>
        <n v="2890"/>
        <n v="5782"/>
        <n v="2229"/>
        <n v="2871"/>
        <n v="5709"/>
        <n v="1627"/>
        <n v="5177"/>
        <n v="3811"/>
        <n v="578"/>
        <n v="3009"/>
        <n v="4513"/>
        <n v="2158"/>
        <n v="3552"/>
        <n v="2508"/>
        <n v="3489"/>
        <n v="4282"/>
        <n v="3601"/>
        <n v="1522"/>
        <n v="4777"/>
        <n v="4758"/>
        <n v="5057"/>
        <n v="2640"/>
        <n v="4519"/>
        <n v="3671"/>
        <n v="2481"/>
        <n v="4234"/>
        <n v="4030"/>
        <n v="2462"/>
        <n v="2560"/>
        <n v="2903"/>
        <n v="5913"/>
        <n v="2623"/>
        <n v="1113"/>
        <n v="5024"/>
        <n v="2590"/>
        <n v="2832"/>
        <n v="525"/>
        <n v="2830"/>
        <n v="5521"/>
        <n v="3907"/>
        <n v="4775"/>
        <n v="5154"/>
        <n v="1520"/>
        <n v="2073"/>
        <n v="2987"/>
        <n v="4785"/>
        <n v="4469"/>
        <n v="2048"/>
        <n v="3707"/>
        <n v="5226"/>
        <n v="5062"/>
        <n v="1612"/>
        <n v="5268"/>
        <n v="4566"/>
        <n v="4043"/>
        <n v="5547"/>
        <n v="5304"/>
        <n v="5645"/>
        <n v="3486"/>
        <n v="1797"/>
        <n v="3913"/>
        <n v="4878"/>
        <n v="4741"/>
        <n v="1886"/>
        <n v="5022"/>
        <n v="3105"/>
        <n v="2414"/>
        <n v="2282"/>
        <n v="3964"/>
        <n v="1775"/>
        <n v="1989"/>
        <n v="1308"/>
        <n v="4353"/>
        <n v="3780"/>
        <n v="3419"/>
        <n v="3534"/>
        <n v="497"/>
        <n v="4996"/>
        <n v="5322"/>
        <n v="1306"/>
        <n v="5401"/>
        <n v="4612"/>
        <n v="3034"/>
        <n v="4160"/>
        <n v="3828"/>
        <n v="1443"/>
        <n v="1839"/>
        <n v="5939"/>
        <n v="1241"/>
        <n v="3004"/>
        <n v="3476"/>
        <n v="4735"/>
        <n v="5128"/>
        <n v="5004"/>
        <n v="3006"/>
        <n v="2340"/>
        <n v="5256"/>
        <n v="5340"/>
        <n v="6030"/>
        <n v="3661"/>
        <n v="3767"/>
        <n v="2458"/>
        <n v="1566"/>
        <n v="3542"/>
        <n v="5900"/>
        <n v="1274"/>
        <n v="3655"/>
        <n v="4424"/>
        <n v="2017"/>
        <n v="5472"/>
        <n v="3951"/>
        <n v="4181"/>
        <n v="2943"/>
        <n v="3098"/>
        <n v="3975"/>
        <n v="2631"/>
        <n v="5606"/>
        <n v="2469"/>
        <n v="5186"/>
        <n v="4936"/>
        <n v="1836"/>
        <n v="1688"/>
        <n v="4189"/>
        <n v="4858"/>
        <n v="3804"/>
        <n v="3226"/>
        <n v="3021"/>
        <n v="5576"/>
        <n v="2723"/>
        <n v="3214"/>
        <n v="2781"/>
        <n v="3800"/>
        <n v="5487"/>
        <n v="4385"/>
        <n v="4370"/>
        <n v="5973"/>
        <n v="4853"/>
        <n v="4805"/>
        <n v="5190"/>
        <n v="5033"/>
        <n v="2675"/>
        <n v="2375"/>
        <n v="4922"/>
        <n v="2098"/>
        <n v="4340"/>
        <n v="2731"/>
        <n v="4546"/>
        <n v="4666"/>
        <n v="3901"/>
        <n v="5851"/>
        <n v="4816"/>
        <n v="4052"/>
        <n v="4668"/>
        <n v="3818"/>
        <n v="6130"/>
        <n v="5585"/>
        <n v="4900"/>
        <n v="5038"/>
        <n v="4284"/>
        <n v="4915"/>
        <n v="5407"/>
        <n v="5473"/>
        <n v="3597"/>
        <n v="5767"/>
        <n v="4413"/>
        <n v="5735"/>
        <n v="3733"/>
        <n v="5879"/>
        <n v="3536"/>
        <n v="4620"/>
        <n v="3473"/>
        <n v="5040"/>
        <n v="1760"/>
        <n v="3726"/>
        <n v="2359"/>
        <n v="3212"/>
        <n v="4110"/>
        <n v="5029"/>
        <n v="2119"/>
        <n v="2195"/>
        <n v="2949"/>
        <n v="4108"/>
        <n v="4737"/>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102.508930902775" createdVersion="7" refreshedVersion="7" minRefreshableVersion="3" recordCount="5" xr:uid="{5885AC10-1FC4-4E03-84EB-AC3699D7299C}">
  <cacheSource type="worksheet">
    <worksheetSource ref="A1:J1048576" sheet="Campaign Metadata"/>
  </cacheSource>
  <cacheFields count="10">
    <cacheField name="Campaign_Name" numFmtId="0">
      <sharedItems containsBlank="1" count="5">
        <s v="CybertruckLaunch"/>
        <s v="ModelYCampaign"/>
        <s v="FSDUpdate"/>
        <s v="SustainabilityDrive"/>
        <m/>
      </sharedItems>
    </cacheField>
    <cacheField name="Start_Date" numFmtId="0">
      <sharedItems containsBlank="1"/>
    </cacheField>
    <cacheField name="End_Date" numFmtId="14">
      <sharedItems containsNonDate="0" containsDate="1" containsString="0" containsBlank="1" minDate="2024-07-15T00:00:00" maxDate="2025-04-01T00:00:00"/>
    </cacheField>
    <cacheField name="Objective" numFmtId="0">
      <sharedItems containsBlank="1"/>
    </cacheField>
    <cacheField name="Total_Budget" numFmtId="0">
      <sharedItems containsString="0" containsBlank="1" containsNumber="1" containsInteger="1" minValue="150000" maxValue="250000"/>
    </cacheField>
    <cacheField name="Target_Platforms" numFmtId="0">
      <sharedItems containsBlank="1"/>
    </cacheField>
    <cacheField name="Primary_Hashtags" numFmtId="0">
      <sharedItems containsBlank="1"/>
    </cacheField>
    <cacheField name="Baseline Avg(Pre-Campaign)" numFmtId="0">
      <sharedItems containsString="0" containsBlank="1" containsNumber="1" minValue="3.9249999999999998" maxValue="8.5549999999999997"/>
    </cacheField>
    <cacheField name="Campaign Avg(During)" numFmtId="0">
      <sharedItems containsString="0" containsBlank="1" containsNumber="1" minValue="5.6449999999999996" maxValue="6.875"/>
    </cacheField>
    <cacheField name="Uplift %" numFmtId="0">
      <sharedItems containsString="0" containsBlank="1" containsNumber="1" minValue="-0.27013442431326712" maxValue="0.5994904458598727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104.779615740743" createdVersion="7" refreshedVersion="7" minRefreshableVersion="3" recordCount="208" xr:uid="{995DA6C4-1DF2-40F3-9468-87842314E895}">
  <cacheSource type="worksheet">
    <worksheetSource ref="A1:I1048576" sheet="Engagement Summary"/>
  </cacheSource>
  <cacheFields count="13">
    <cacheField name="Week_Start_Date" numFmtId="14">
      <sharedItems containsNonDate="0" containsDate="1" containsString="0" containsBlank="1" minDate="2024-06-03T00:00:00" maxDate="2025-05-13T00:00:00" count="51">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m/>
      </sharedItems>
      <fieldGroup par="10" base="0">
        <rangePr groupBy="months" startDate="2024-06-03T00:00:00" endDate="2025-05-13T00:00:00"/>
        <groupItems count="14">
          <s v="(blank)"/>
          <s v="Jan"/>
          <s v="Feb"/>
          <s v="Mar"/>
          <s v="Apr"/>
          <s v="May"/>
          <s v="Jun"/>
          <s v="Jul"/>
          <s v="Aug"/>
          <s v="Sep"/>
          <s v="Oct"/>
          <s v="Nov"/>
          <s v="Dec"/>
          <s v="&gt;13-05-2025"/>
        </groupItems>
      </fieldGroup>
    </cacheField>
    <cacheField name="Platform" numFmtId="0">
      <sharedItems containsBlank="1" count="5">
        <s v="Twitter"/>
        <s v="Instagram"/>
        <s v="Facebook"/>
        <s v="YouTube"/>
        <m/>
      </sharedItems>
    </cacheField>
    <cacheField name="New_Followers" numFmtId="0">
      <sharedItems containsString="0" containsBlank="1" containsNumber="1" containsInteger="1" minValue="115" maxValue="1980"/>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ount="200">
        <n v="26752"/>
        <n v="5904"/>
        <n v="9566"/>
        <n v="30671"/>
        <n v="8912"/>
        <n v="9920"/>
        <n v="21205"/>
        <n v="7924"/>
        <n v="24313"/>
        <n v="11329"/>
        <n v="22482"/>
        <n v="46670"/>
        <n v="1783"/>
        <n v="18050"/>
        <n v="31280"/>
        <n v="30635"/>
        <n v="30060"/>
        <n v="42307"/>
        <n v="5914"/>
        <n v="38610"/>
        <n v="15071"/>
        <n v="2932"/>
        <n v="22728"/>
        <n v="43420"/>
        <n v="28474"/>
        <n v="32393"/>
        <n v="10740"/>
        <n v="17328"/>
        <n v="26452"/>
        <n v="26067"/>
        <n v="32763"/>
        <n v="4839"/>
        <n v="16804"/>
        <n v="15353"/>
        <n v="39272"/>
        <n v="26455"/>
        <n v="49372"/>
        <n v="49303"/>
        <n v="12384"/>
        <n v="33258"/>
        <n v="6915"/>
        <n v="47101"/>
        <n v="37903"/>
        <n v="35501"/>
        <n v="10283"/>
        <n v="14203"/>
        <n v="22206"/>
        <n v="26925"/>
        <n v="32929"/>
        <n v="9942"/>
        <n v="24913"/>
        <n v="25797"/>
        <n v="12646"/>
        <n v="37829"/>
        <n v="24384"/>
        <n v="15476"/>
        <n v="10217"/>
        <n v="26663"/>
        <n v="40478"/>
        <n v="5442"/>
        <n v="47462"/>
        <n v="21939"/>
        <n v="30270"/>
        <n v="11901"/>
        <n v="1083"/>
        <n v="38883"/>
        <n v="24018"/>
        <n v="2315"/>
        <n v="12148"/>
        <n v="30575"/>
        <n v="36851"/>
        <n v="27822"/>
        <n v="4509"/>
        <n v="43836"/>
        <n v="41215"/>
        <n v="33174"/>
        <n v="6742"/>
        <n v="7285"/>
        <n v="36397"/>
        <n v="42824"/>
        <n v="21208"/>
        <n v="32478"/>
        <n v="44321"/>
        <n v="15827"/>
        <n v="13116"/>
        <n v="30214"/>
        <n v="46643"/>
        <n v="4996"/>
        <n v="36484"/>
        <n v="16443"/>
        <n v="36095"/>
        <n v="38452"/>
        <n v="9269"/>
        <n v="47812"/>
        <n v="30428"/>
        <n v="29533"/>
        <n v="22373"/>
        <n v="39997"/>
        <n v="5391"/>
        <n v="39530"/>
        <n v="37876"/>
        <n v="28498"/>
        <n v="1810"/>
        <n v="40888"/>
        <n v="3455"/>
        <n v="36103"/>
        <n v="26103"/>
        <n v="46625"/>
        <n v="22724"/>
        <n v="18601"/>
        <n v="20861"/>
        <n v="49558"/>
        <n v="20692"/>
        <n v="13316"/>
        <n v="18656"/>
        <n v="4683"/>
        <n v="35359"/>
        <n v="47502"/>
        <n v="14154"/>
        <n v="39931"/>
        <n v="9118"/>
        <n v="4313"/>
        <n v="25140"/>
        <n v="17951"/>
        <n v="15045"/>
        <n v="37132"/>
        <n v="2798"/>
        <n v="12350"/>
        <n v="45708"/>
        <n v="40868"/>
        <n v="14548"/>
        <n v="23853"/>
        <n v="45380"/>
        <n v="7705"/>
        <n v="43122"/>
        <n v="25525"/>
        <n v="20560"/>
        <n v="43999"/>
        <n v="19119"/>
        <n v="18001"/>
        <n v="48270"/>
        <n v="40323"/>
        <n v="10825"/>
        <n v="23489"/>
        <n v="42832"/>
        <n v="24494"/>
        <n v="3314"/>
        <n v="37636"/>
        <n v="44097"/>
        <n v="22996"/>
        <n v="31853"/>
        <n v="8718"/>
        <n v="39031"/>
        <n v="49772"/>
        <n v="22713"/>
        <n v="20553"/>
        <n v="30987"/>
        <n v="10002"/>
        <n v="33799"/>
        <n v="6296"/>
        <n v="21539"/>
        <n v="14722"/>
        <n v="11383"/>
        <n v="14068"/>
        <n v="9480"/>
        <n v="29116"/>
        <n v="35801"/>
        <n v="21061"/>
        <n v="20059"/>
        <n v="49077"/>
        <n v="21453"/>
        <n v="23461"/>
        <n v="23140"/>
        <n v="11805"/>
        <n v="15969"/>
        <n v="2436"/>
        <n v="39923"/>
        <n v="47603"/>
        <n v="42964"/>
        <n v="2293"/>
        <n v="25920"/>
        <n v="11035"/>
        <n v="20733"/>
        <n v="18693"/>
        <n v="8471"/>
        <n v="7875"/>
        <n v="14090"/>
        <n v="6832"/>
        <n v="3582"/>
        <n v="32500"/>
        <n v="14216"/>
        <n v="48419"/>
        <n v="7541"/>
        <n v="16149"/>
        <n v="33381"/>
        <n v="12174"/>
        <n v="4007"/>
        <n v="49400"/>
        <n v="20042"/>
        <m/>
      </sharedItems>
    </cacheField>
    <cacheField name="Growth Rate" numFmtId="167">
      <sharedItems containsString="0" containsBlank="1" containsNumber="1" minValue="-4.0819787301048958E-3" maxValue="0.10825114265095021" count="201">
        <n v="2.826320879360366E-3"/>
        <n v="3.0428616268120576E-3"/>
        <n v="2.3491348994232664E-2"/>
        <n v="2.7557542170624167E-3"/>
        <n v="7.3128442639386348E-4"/>
        <n v="1.0517322049758936E-2"/>
        <n v="2.4016739232334168E-3"/>
        <n v="4.0530081660374974E-3"/>
        <n v="8.80238003818718E-4"/>
        <n v="1.9542790614208243E-3"/>
        <n v="1.0551445425805821E-2"/>
        <n v="8.1535847453627231E-3"/>
        <n v="-2.8860773750305035E-4"/>
        <n v="1.7636832660385824E-2"/>
        <n v="2.798060458211721E-3"/>
        <n v="6.3510173036698994E-2"/>
        <n v="8.0050669434719116E-4"/>
        <n v="-5.2211602419375983E-4"/>
        <n v="2.9088264703208797E-4"/>
        <n v="4.3037693661692649E-3"/>
        <n v="1.2276812319721568E-3"/>
        <n v="2.1994574101175039E-3"/>
        <n v="1.40324773607655E-3"/>
        <n v="2.8717173625543171E-2"/>
        <n v="-4.9009939454794306E-4"/>
        <n v="1.0211701333265254E-3"/>
        <n v="1.8982132901478749E-3"/>
        <n v="1.1967386439556591E-2"/>
        <n v="3.3557613568250698E-4"/>
        <n v="1.0340418313957282E-3"/>
        <n v="3.2572737872501967E-3"/>
        <n v="6.6371458255580548E-3"/>
        <n v="-7.3097734889686784E-4"/>
        <n v="7.600121601945631E-3"/>
        <n v="2.2861730899256253E-2"/>
        <n v="5.1986619096302169E-3"/>
        <n v="-1.5755714445670778E-3"/>
        <n v="9.9485420240137223E-4"/>
        <n v="8.0371168669857163E-4"/>
        <n v="7.2889860753698943E-4"/>
        <n v="8.5080354946042954E-5"/>
        <n v="1.011348268360087E-2"/>
        <n v="2.7085701202809553E-3"/>
        <n v="4.3366318609156986E-3"/>
        <n v="2.335271198731579E-4"/>
        <n v="2.1728440241071327E-3"/>
        <n v="5.7523759813836147E-3"/>
        <n v="8.825634093981077E-3"/>
        <n v="9.7527544941747058E-5"/>
        <n v="1.1713324743561855E-4"/>
        <n v="6.5914381026955706E-3"/>
        <n v="3.5456226214689766E-3"/>
        <n v="6.1798299135137512E-4"/>
        <n v="8.9764429025449434E-4"/>
        <n v="1.2306082974775983E-2"/>
        <n v="2.1026918479944948E-3"/>
        <n v="5.990134708914012E-4"/>
        <n v="1.7032345973398571E-2"/>
        <n v="4.1581361392816901E-3"/>
        <n v="4.6435400163889647E-3"/>
        <n v="-2.6681341404439108E-4"/>
        <n v="2.0668041724136477E-4"/>
        <n v="7.4222825979957871E-3"/>
        <n v="2.8673012960201858E-3"/>
        <n v="-7.9248226299566635E-5"/>
        <n v="1.5758651286601596E-3"/>
        <n v="1.592351646960128E-2"/>
        <n v="6.2566104068286429E-3"/>
        <n v="-3.9477485703195471E-4"/>
        <n v="9.2287307798970819E-3"/>
        <n v="2.7682576721248606E-3"/>
        <n v="1.8079694785926241E-2"/>
        <n v="1.0019784829366461E-3"/>
        <n v="2.2456063766826309E-4"/>
        <n v="4.3810281972675247E-3"/>
        <n v="1.0000908202133741E-2"/>
        <n v="-6.456361452939582E-5"/>
        <n v="1.8425729749269497E-3"/>
        <n v="1.8083871090552605E-3"/>
        <n v="3.1501331857780751E-3"/>
        <n v="1.8687212668142345E-2"/>
        <n v="2.4623771231227277E-3"/>
        <n v="7.3371064356504961E-4"/>
        <n v="5.7763419096181542E-3"/>
        <n v="1.5381417584701726E-4"/>
        <n v="1.6622321237901201E-3"/>
        <n v="1.8382090319876945E-3"/>
        <n v="5.4180958515762179E-3"/>
        <n v="1.6918035252172713E-3"/>
        <n v="2.5430053699827069E-2"/>
        <n v="4.0317597627286209E-3"/>
        <n v="3.6508153411678964E-3"/>
        <n v="-3.4250669665215861E-4"/>
        <n v="2.8821299683708945E-3"/>
        <n v="1.7550345364335054E-2"/>
        <n v="1.3172212358971423E-2"/>
        <n v="-9.5914811987394058E-4"/>
        <n v="1.9887634863023914E-4"/>
        <n v="2.1248528096751631E-4"/>
        <n v="9.1277744844858602E-4"/>
        <n v="1.1079079758069075E-3"/>
        <n v="1.4152074838090669E-2"/>
        <n v="3.9565022381564839E-3"/>
        <n v="5.9936417126309005E-3"/>
        <n v="1.3151115811166245E-3"/>
        <n v="3.7850431101244257E-3"/>
        <n v="3.8511033114748661E-3"/>
        <n v="3.6277109484146308E-3"/>
        <n v="1.2679964770499277E-3"/>
        <n v="5.0721615839286359E-3"/>
        <n v="3.8307014117515761E-2"/>
        <n v="8.3806473528412681E-2"/>
        <n v="1.7917737946946315E-3"/>
        <n v="3.0759118725472716E-3"/>
        <n v="4.1536387893013997E-3"/>
        <n v="3.311568846722701E-3"/>
        <n v="2.4359408109118751E-3"/>
        <n v="1.1230414576116569E-2"/>
        <n v="7.8202834584935772E-3"/>
        <n v="6.3113158835445049E-2"/>
        <n v="1.0669005078738719E-2"/>
        <n v="5.5634189738421064E-3"/>
        <n v="1.253515525127127E-2"/>
        <n v="4.6806929323118035E-3"/>
        <n v="6.4766839378238338E-3"/>
        <n v="8.8669950738916262E-3"/>
        <n v="1.9361810704529763E-3"/>
        <n v="3.2008104408927781E-3"/>
        <n v="-2.9514486693885583E-4"/>
        <n v="1.3262186302564765E-3"/>
        <n v="6.2409087760615087E-2"/>
        <n v="4.9282654051223049E-3"/>
        <n v="8.9052952094934197E-4"/>
        <n v="7.1621491270377159E-3"/>
        <n v="2.1486931256659019E-3"/>
        <n v="4.0971536250166149E-3"/>
        <n v="-4.6464109274628077E-4"/>
        <n v="2.7948348464241365E-3"/>
        <n v="2.6534161921203288E-3"/>
        <n v="5.4309533874905263E-3"/>
        <n v="-7.4972485467156139E-4"/>
        <n v="3.2046588643454949E-3"/>
        <n v="5.5005257855530306E-3"/>
        <n v="3.0720567989168156E-3"/>
        <n v="2.9427518601934728E-3"/>
        <n v="9.4958208908059605E-3"/>
        <n v="2.9756017144741179E-3"/>
        <n v="7.7568587198256845E-3"/>
        <n v="-2.5410691720235154E-4"/>
        <n v="2.1291007252180398E-3"/>
        <n v="1.1086997546706926E-2"/>
        <n v="1.5147617822744291E-2"/>
        <n v="2.2333891680625349E-3"/>
        <n v="2.1885278918832756E-3"/>
        <n v="1.0867503398564699E-2"/>
        <n v="7.4073109768798169E-3"/>
        <n v="-3.2435585380545735E-4"/>
        <n v="1.4029055733207443E-3"/>
        <n v="1.9268070513850934E-3"/>
        <n v="5.1052298518124532E-3"/>
        <n v="4.5873346287504706E-4"/>
        <n v="2.6639909400836752E-3"/>
        <n v="0.10825114265095021"/>
        <n v="1.2622336046830695E-2"/>
        <n v="6.9173294769824048E-2"/>
        <n v="1.6572027392586454E-3"/>
        <n v="3.2619275185675578E-3"/>
        <n v="7.9689298043728429E-2"/>
        <n v="1.3832962243592781E-3"/>
        <n v="8.8022790888170322E-4"/>
        <n v="1.2636715002329981E-3"/>
        <n v="1.268716241173857E-3"/>
        <n v="1.3889264193260734E-3"/>
        <n v="2.2667798288422093E-3"/>
        <n v="8.4497101083942528E-3"/>
        <n v="3.3667947287974553E-3"/>
        <n v="2.1195852212872357E-3"/>
        <n v="7.1981098934404211E-4"/>
        <n v="1.0436528865268368E-2"/>
        <n v="3.4032917638311531E-2"/>
        <n v="-2.3994481269308059E-3"/>
        <n v="-2.4750024750024749E-3"/>
        <n v="3.7191155522184875E-4"/>
        <n v="3.9239564305527366E-4"/>
        <n v="9.5802484827301332E-3"/>
        <n v="2.2734693021737242E-3"/>
        <n v="2.7690774864725927E-3"/>
        <n v="6.0267642955734836E-3"/>
        <n v="5.5706165282028861E-2"/>
        <n v="2.014855668727483E-3"/>
        <n v="1.9454574184929272E-3"/>
        <n v="3.4511059684624078E-3"/>
        <n v="8.0965664826031301E-4"/>
        <n v="5.8190830903102836E-3"/>
        <n v="3.1174901520344203E-3"/>
        <n v="4.1995793722733989E-3"/>
        <n v="-4.0819787301048958E-3"/>
        <n v="5.8952701962314107E-4"/>
        <n v="1.1156186612576065E-3"/>
        <n v="3.5361871958419907E-3"/>
        <m/>
      </sharedItems>
    </cacheField>
    <cacheField name="Engagement Volume" numFmtId="0">
      <sharedItems containsString="0" containsBlank="1" containsNumber="1" minValue="182.96" maxValue="43820.783999999992"/>
    </cacheField>
    <cacheField name="Quarters" numFmtId="0" databaseField="0">
      <fieldGroup base="0">
        <rangePr groupBy="quarters" startDate="2024-06-03T00:00:00" endDate="2025-05-13T00:00:00"/>
        <groupItems count="6">
          <s v="&lt;03-06-2024"/>
          <s v="Qtr1"/>
          <s v="Qtr2"/>
          <s v="Qtr3"/>
          <s v="Qtr4"/>
          <s v="&gt;13-05-2025"/>
        </groupItems>
      </fieldGroup>
    </cacheField>
    <cacheField name="Years" numFmtId="0" databaseField="0">
      <fieldGroup base="0">
        <rangePr groupBy="years" startDate="2024-06-03T00:00:00" endDate="2025-05-13T00:00:00"/>
        <groupItems count="4">
          <s v="&lt;03-06-2024"/>
          <s v="2024"/>
          <s v="2025"/>
          <s v="&gt;13-05-2025"/>
        </groupItems>
      </fieldGroup>
    </cacheField>
    <cacheField name="Net Follower Growth" numFmtId="0" formula="New_Followers-Unfollows" databaseField="0"/>
    <cacheField name="ROI" numFmtId="0" formula="'Engagement Volume'/Ad_Spend"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refreshedDate="46107.828721296297" createdVersion="7" refreshedVersion="7" minRefreshableVersion="3" recordCount="208" xr:uid="{0B514ED4-0579-4B35-9ABF-54AF59DF0FBF}">
  <cacheSource type="worksheet">
    <worksheetSource ref="A1:J1048576" sheet="Engagement Summary"/>
  </cacheSource>
  <cacheFields count="10">
    <cacheField name="Week_Start_Date" numFmtId="14">
      <sharedItems containsNonDate="0" containsDate="1" containsString="0" containsBlank="1" minDate="2024-06-03T00:00:00" maxDate="2025-05-13T00:00:00"/>
    </cacheField>
    <cacheField name="Platform" numFmtId="0">
      <sharedItems containsBlank="1" count="5">
        <s v="Facebook"/>
        <s v="Instagram"/>
        <s v="YouTube"/>
        <s v="Twitter"/>
        <m/>
      </sharedItems>
    </cacheField>
    <cacheField name="New_Followers" numFmtId="0">
      <sharedItems containsString="0" containsBlank="1" containsNumber="1" containsInteger="1" minValue="115" maxValue="1980" count="192">
        <n v="1980"/>
        <n v="1960"/>
        <n v="1957"/>
        <n v="1946"/>
        <n v="1939"/>
        <n v="1937"/>
        <n v="1929"/>
        <n v="1918"/>
        <n v="1911"/>
        <n v="1902"/>
        <n v="1900"/>
        <n v="1895"/>
        <n v="1884"/>
        <n v="1855"/>
        <n v="1854"/>
        <n v="1842"/>
        <n v="1821"/>
        <n v="1814"/>
        <n v="1786"/>
        <n v="1779"/>
        <n v="1765"/>
        <n v="1757"/>
        <n v="1756"/>
        <n v="1753"/>
        <n v="1751"/>
        <n v="1748"/>
        <n v="1710"/>
        <n v="1707"/>
        <n v="1701"/>
        <n v="1697"/>
        <n v="1696"/>
        <n v="1693"/>
        <n v="1685"/>
        <n v="1662"/>
        <n v="1658"/>
        <n v="1633"/>
        <n v="1623"/>
        <n v="1596"/>
        <n v="1592"/>
        <n v="1587"/>
        <n v="1581"/>
        <n v="1556"/>
        <n v="1535"/>
        <n v="1534"/>
        <n v="1528"/>
        <n v="1527"/>
        <n v="1520"/>
        <n v="1514"/>
        <n v="1507"/>
        <n v="1502"/>
        <n v="1501"/>
        <n v="1495"/>
        <n v="1494"/>
        <n v="1487"/>
        <n v="1472"/>
        <n v="1466"/>
        <n v="1441"/>
        <n v="1440"/>
        <n v="1433"/>
        <n v="1432"/>
        <n v="1429"/>
        <n v="1420"/>
        <n v="1411"/>
        <n v="1409"/>
        <n v="1399"/>
        <n v="1391"/>
        <n v="1375"/>
        <n v="1371"/>
        <n v="1358"/>
        <n v="1335"/>
        <n v="1331"/>
        <n v="1312"/>
        <n v="1307"/>
        <n v="1300"/>
        <n v="1294"/>
        <n v="1293"/>
        <n v="1249"/>
        <n v="1238"/>
        <n v="1222"/>
        <n v="1218"/>
        <n v="1210"/>
        <n v="1197"/>
        <n v="1166"/>
        <n v="1159"/>
        <n v="1155"/>
        <n v="1147"/>
        <n v="1138"/>
        <n v="1137"/>
        <n v="1135"/>
        <n v="1102"/>
        <n v="1098"/>
        <n v="1092"/>
        <n v="1078"/>
        <n v="1077"/>
        <n v="1075"/>
        <n v="1063"/>
        <n v="1048"/>
        <n v="1040"/>
        <n v="1035"/>
        <n v="1033"/>
        <n v="1013"/>
        <n v="1004"/>
        <n v="988"/>
        <n v="987"/>
        <n v="961"/>
        <n v="947"/>
        <n v="946"/>
        <n v="927"/>
        <n v="911"/>
        <n v="891"/>
        <n v="883"/>
        <n v="861"/>
        <n v="859"/>
        <n v="837"/>
        <n v="833"/>
        <n v="826"/>
        <n v="817"/>
        <n v="816"/>
        <n v="804"/>
        <n v="778"/>
        <n v="777"/>
        <n v="752"/>
        <n v="751"/>
        <n v="736"/>
        <n v="728"/>
        <n v="704"/>
        <n v="703"/>
        <n v="697"/>
        <n v="663"/>
        <n v="656"/>
        <n v="653"/>
        <n v="651"/>
        <n v="645"/>
        <n v="643"/>
        <n v="642"/>
        <n v="628"/>
        <n v="623"/>
        <n v="609"/>
        <n v="584"/>
        <n v="576"/>
        <n v="559"/>
        <n v="557"/>
        <n v="520"/>
        <n v="513"/>
        <n v="510"/>
        <n v="508"/>
        <n v="505"/>
        <n v="490"/>
        <n v="485"/>
        <n v="460"/>
        <n v="454"/>
        <n v="452"/>
        <n v="443"/>
        <n v="442"/>
        <n v="437"/>
        <n v="436"/>
        <n v="422"/>
        <n v="414"/>
        <n v="405"/>
        <n v="403"/>
        <n v="393"/>
        <n v="364"/>
        <n v="362"/>
        <n v="353"/>
        <n v="350"/>
        <n v="345"/>
        <n v="337"/>
        <n v="330"/>
        <n v="308"/>
        <n v="307"/>
        <n v="278"/>
        <n v="250"/>
        <n v="248"/>
        <n v="226"/>
        <n v="224"/>
        <n v="221"/>
        <n v="215"/>
        <n v="214"/>
        <n v="201"/>
        <n v="198"/>
        <n v="191"/>
        <n v="187"/>
        <n v="171"/>
        <n v="170"/>
        <n v="160"/>
        <n v="152"/>
        <n v="144"/>
        <n v="123"/>
        <n v="119"/>
        <n v="118"/>
        <n v="115"/>
        <m/>
      </sharedItems>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acheField>
    <cacheField name="Growth Rate" numFmtId="167">
      <sharedItems containsString="0" containsBlank="1" containsNumber="1" minValue="-4.0819787301048958E-3" maxValue="0.10825114265095021"/>
    </cacheField>
    <cacheField name="Engagement Volume" numFmtId="0">
      <sharedItems containsString="0" containsBlank="1" containsNumber="1" minValue="182.96" maxValue="43820.783999999992"/>
    </cacheField>
    <cacheField name="Campaign Name" numFmtId="0">
      <sharedItems containsBlank="1" count="6">
        <s v="FSDUpdate"/>
        <s v="CybertruckLaunch"/>
        <s v="SustainabilityDrive"/>
        <s v="ModelYCampaign"/>
        <s v="No Campaign"/>
        <m/>
      </sharedItems>
    </cacheField>
  </cacheFields>
  <extLst>
    <ext xmlns:x14="http://schemas.microsoft.com/office/spreadsheetml/2009/9/main" uri="{725AE2AE-9491-48be-B2B4-4EB974FC3084}">
      <x14:pivotCacheDefinition pivotCacheId="379148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2024-06-02"/>
    <x v="0"/>
    <x v="0"/>
    <n v="84"/>
    <n v="897"/>
    <n v="85"/>
    <n v="588"/>
    <n v="1.8129251700680271"/>
    <n v="8"/>
    <n v="12"/>
    <x v="0"/>
    <x v="0"/>
    <x v="0"/>
  </r>
  <r>
    <x v="1"/>
    <x v="0"/>
    <s v="2025-04-15"/>
    <x v="1"/>
    <x v="1"/>
    <n v="103"/>
    <n v="770"/>
    <n v="19"/>
    <n v="1030"/>
    <n v="0.86601941747572819"/>
    <n v="410"/>
    <n v="262"/>
    <x v="1"/>
    <x v="1"/>
    <x v="1"/>
  </r>
  <r>
    <x v="2"/>
    <x v="1"/>
    <s v="2025-04-29"/>
    <x v="0"/>
    <x v="2"/>
    <n v="249"/>
    <n v="592"/>
    <n v="230"/>
    <n v="1494"/>
    <n v="0.7168674698795181"/>
    <n v="1044"/>
    <n v="201"/>
    <x v="2"/>
    <x v="2"/>
    <x v="2"/>
  </r>
  <r>
    <x v="3"/>
    <x v="0"/>
    <s v="2024-11-07"/>
    <x v="2"/>
    <x v="3"/>
    <n v="129"/>
    <n v="643"/>
    <n v="136"/>
    <n v="1290"/>
    <n v="0.70387596899224802"/>
    <n v="839"/>
    <n v="238"/>
    <x v="3"/>
    <x v="3"/>
    <x v="3"/>
  </r>
  <r>
    <x v="4"/>
    <x v="0"/>
    <s v="2025-01-17"/>
    <x v="1"/>
    <x v="1"/>
    <n v="142"/>
    <n v="784"/>
    <n v="183"/>
    <n v="1704"/>
    <n v="0.6508215962441315"/>
    <n v="995"/>
    <n v="154"/>
    <x v="4"/>
    <x v="0"/>
    <x v="2"/>
  </r>
  <r>
    <x v="5"/>
    <x v="1"/>
    <s v="2024-11-22"/>
    <x v="3"/>
    <x v="4"/>
    <n v="53"/>
    <n v="81"/>
    <n v="379"/>
    <n v="954"/>
    <n v="0.53773584905660377"/>
    <n v="7"/>
    <n v="148"/>
    <x v="2"/>
    <x v="1"/>
    <x v="4"/>
  </r>
  <r>
    <x v="6"/>
    <x v="1"/>
    <s v="2025-01-30"/>
    <x v="4"/>
    <x v="5"/>
    <n v="59"/>
    <n v="163"/>
    <n v="93"/>
    <n v="590"/>
    <n v="0.53389830508474578"/>
    <n v="475"/>
    <n v="293"/>
    <x v="2"/>
    <x v="1"/>
    <x v="4"/>
  </r>
  <r>
    <x v="7"/>
    <x v="2"/>
    <s v="2024-10-02"/>
    <x v="3"/>
    <x v="6"/>
    <n v="80"/>
    <n v="362"/>
    <n v="80"/>
    <n v="1040"/>
    <n v="0.50192307692307692"/>
    <n v="349"/>
    <n v="117"/>
    <x v="3"/>
    <x v="3"/>
    <x v="2"/>
  </r>
  <r>
    <x v="8"/>
    <x v="2"/>
    <s v="2025-02-19"/>
    <x v="4"/>
    <x v="7"/>
    <n v="257"/>
    <n v="966"/>
    <n v="398"/>
    <n v="3341"/>
    <n v="0.48518407662376534"/>
    <n v="2753"/>
    <n v="287"/>
    <x v="2"/>
    <x v="1"/>
    <x v="2"/>
  </r>
  <r>
    <x v="9"/>
    <x v="3"/>
    <s v="2025-04-02"/>
    <x v="2"/>
    <x v="8"/>
    <n v="199"/>
    <n v="772"/>
    <n v="400"/>
    <n v="3582"/>
    <n v="0.38274706867671693"/>
    <n v="2988"/>
    <n v="43"/>
    <x v="2"/>
    <x v="1"/>
    <x v="2"/>
  </r>
  <r>
    <x v="10"/>
    <x v="0"/>
    <s v="2024-12-23"/>
    <x v="4"/>
    <x v="9"/>
    <n v="521"/>
    <n v="746"/>
    <n v="315"/>
    <n v="4168"/>
    <n v="0.37955854126679461"/>
    <n v="3399"/>
    <n v="282"/>
    <x v="5"/>
    <x v="3"/>
    <x v="4"/>
  </r>
  <r>
    <x v="11"/>
    <x v="2"/>
    <s v="2025-02-24"/>
    <x v="3"/>
    <x v="6"/>
    <n v="804"/>
    <n v="639"/>
    <n v="43"/>
    <n v="4020"/>
    <n v="0.36965174129353234"/>
    <n v="3144"/>
    <n v="11"/>
    <x v="5"/>
    <x v="2"/>
    <x v="2"/>
  </r>
  <r>
    <x v="12"/>
    <x v="1"/>
    <s v="2024-09-18"/>
    <x v="1"/>
    <x v="10"/>
    <n v="1000"/>
    <n v="978"/>
    <n v="162"/>
    <n v="6000"/>
    <n v="0.35666666666666669"/>
    <n v="5221"/>
    <n v="223"/>
    <x v="3"/>
    <x v="0"/>
    <x v="2"/>
  </r>
  <r>
    <x v="13"/>
    <x v="2"/>
    <s v="2025-04-06"/>
    <x v="3"/>
    <x v="6"/>
    <n v="736"/>
    <n v="771"/>
    <n v="225"/>
    <n v="5152"/>
    <n v="0.33618012422360249"/>
    <n v="4706"/>
    <n v="19"/>
    <x v="5"/>
    <x v="4"/>
    <x v="0"/>
  </r>
  <r>
    <x v="14"/>
    <x v="0"/>
    <s v="2024-07-29"/>
    <x v="0"/>
    <x v="0"/>
    <n v="498"/>
    <n v="701"/>
    <n v="412"/>
    <n v="4980"/>
    <n v="0.32349397590361445"/>
    <n v="4185"/>
    <n v="185"/>
    <x v="5"/>
    <x v="0"/>
    <x v="0"/>
  </r>
  <r>
    <x v="15"/>
    <x v="3"/>
    <s v="2025-05-13"/>
    <x v="4"/>
    <x v="11"/>
    <n v="602"/>
    <n v="594"/>
    <n v="156"/>
    <n v="4214"/>
    <n v="0.32083531086853345"/>
    <n v="3363"/>
    <n v="164"/>
    <x v="5"/>
    <x v="2"/>
    <x v="4"/>
  </r>
  <r>
    <x v="16"/>
    <x v="0"/>
    <s v="2024-10-09"/>
    <x v="3"/>
    <x v="12"/>
    <n v="985"/>
    <n v="932"/>
    <n v="287"/>
    <n v="6895"/>
    <n v="0.31965192168237855"/>
    <n v="6757"/>
    <n v="64"/>
    <x v="3"/>
    <x v="3"/>
    <x v="0"/>
  </r>
  <r>
    <x v="17"/>
    <x v="0"/>
    <s v="2025-02-07"/>
    <x v="1"/>
    <x v="1"/>
    <n v="1970"/>
    <n v="675"/>
    <n v="478"/>
    <n v="9850"/>
    <n v="0.31705583756345179"/>
    <n v="8924"/>
    <n v="117"/>
    <x v="5"/>
    <x v="0"/>
    <x v="0"/>
  </r>
  <r>
    <x v="18"/>
    <x v="0"/>
    <s v="2024-08-15"/>
    <x v="1"/>
    <x v="1"/>
    <n v="1164"/>
    <n v="616"/>
    <n v="324"/>
    <n v="6984"/>
    <n v="0.30126002290950743"/>
    <n v="6636"/>
    <n v="82"/>
    <x v="2"/>
    <x v="3"/>
    <x v="0"/>
  </r>
  <r>
    <x v="19"/>
    <x v="0"/>
    <s v="2025-01-01"/>
    <x v="3"/>
    <x v="12"/>
    <n v="2234"/>
    <n v="653"/>
    <n v="432"/>
    <n v="11170"/>
    <n v="0.29713518352730528"/>
    <n v="10569"/>
    <n v="198"/>
    <x v="2"/>
    <x v="0"/>
    <x v="4"/>
  </r>
  <r>
    <x v="20"/>
    <x v="1"/>
    <s v="2024-07-26"/>
    <x v="3"/>
    <x v="4"/>
    <n v="432"/>
    <n v="171"/>
    <n v="280"/>
    <n v="3024"/>
    <n v="0.29199735449735448"/>
    <n v="2285"/>
    <n v="184"/>
    <x v="5"/>
    <x v="3"/>
    <x v="0"/>
  </r>
  <r>
    <x v="21"/>
    <x v="0"/>
    <s v="2024-12-17"/>
    <x v="0"/>
    <x v="0"/>
    <n v="360"/>
    <n v="590"/>
    <n v="393"/>
    <n v="4680"/>
    <n v="0.28696581196581195"/>
    <n v="4322"/>
    <n v="208"/>
    <x v="2"/>
    <x v="3"/>
    <x v="2"/>
  </r>
  <r>
    <x v="22"/>
    <x v="0"/>
    <s v="2024-12-16"/>
    <x v="5"/>
    <x v="13"/>
    <n v="438"/>
    <n v="153"/>
    <n v="275"/>
    <n v="3066"/>
    <n v="0.28245270711024134"/>
    <n v="2701"/>
    <n v="282"/>
    <x v="6"/>
    <x v="1"/>
    <x v="2"/>
  </r>
  <r>
    <x v="23"/>
    <x v="0"/>
    <s v="2024-12-11"/>
    <x v="2"/>
    <x v="3"/>
    <n v="1431"/>
    <n v="951"/>
    <n v="26"/>
    <n v="8586"/>
    <n v="0.28045655718611695"/>
    <n v="8396"/>
    <n v="150"/>
    <x v="5"/>
    <x v="2"/>
    <x v="0"/>
  </r>
  <r>
    <x v="24"/>
    <x v="0"/>
    <s v="2024-08-20"/>
    <x v="1"/>
    <x v="1"/>
    <n v="2603"/>
    <n v="690"/>
    <n v="205"/>
    <n v="13015"/>
    <n v="0.26876680752977333"/>
    <n v="12130"/>
    <n v="20"/>
    <x v="3"/>
    <x v="4"/>
    <x v="2"/>
  </r>
  <r>
    <x v="25"/>
    <x v="3"/>
    <s v="2025-02-02"/>
    <x v="0"/>
    <x v="14"/>
    <n v="886"/>
    <n v="126"/>
    <n v="153"/>
    <n v="4430"/>
    <n v="0.26297968397291194"/>
    <n v="4037"/>
    <n v="212"/>
    <x v="5"/>
    <x v="1"/>
    <x v="2"/>
  </r>
  <r>
    <x v="26"/>
    <x v="2"/>
    <s v="2024-10-25"/>
    <x v="2"/>
    <x v="15"/>
    <n v="4661"/>
    <n v="935"/>
    <n v="433"/>
    <n v="23305"/>
    <n v="0.25869984981763572"/>
    <n v="22583"/>
    <n v="63"/>
    <x v="5"/>
    <x v="3"/>
    <x v="1"/>
  </r>
  <r>
    <x v="27"/>
    <x v="3"/>
    <s v="2025-02-10"/>
    <x v="5"/>
    <x v="16"/>
    <n v="562"/>
    <n v="158"/>
    <n v="149"/>
    <n v="3372"/>
    <n v="0.25771055753262156"/>
    <n v="2940"/>
    <n v="93"/>
    <x v="5"/>
    <x v="3"/>
    <x v="0"/>
  </r>
  <r>
    <x v="28"/>
    <x v="1"/>
    <s v="2025-01-28"/>
    <x v="1"/>
    <x v="10"/>
    <n v="1188"/>
    <n v="470"/>
    <n v="174"/>
    <n v="7128"/>
    <n v="0.25701459034792368"/>
    <n v="6145"/>
    <n v="270"/>
    <x v="5"/>
    <x v="2"/>
    <x v="4"/>
  </r>
  <r>
    <x v="29"/>
    <x v="0"/>
    <s v="2024-08-07"/>
    <x v="3"/>
    <x v="12"/>
    <n v="1741"/>
    <n v="164"/>
    <n v="318"/>
    <n v="8705"/>
    <n v="0.25537047673750718"/>
    <n v="8272"/>
    <n v="121"/>
    <x v="3"/>
    <x v="4"/>
    <x v="0"/>
  </r>
  <r>
    <x v="30"/>
    <x v="1"/>
    <s v="2025-02-20"/>
    <x v="3"/>
    <x v="4"/>
    <n v="1877"/>
    <n v="745"/>
    <n v="225"/>
    <n v="11262"/>
    <n v="0.25279701651571657"/>
    <n v="10967"/>
    <n v="41"/>
    <x v="2"/>
    <x v="1"/>
    <x v="0"/>
  </r>
  <r>
    <x v="31"/>
    <x v="2"/>
    <s v="2025-02-24"/>
    <x v="5"/>
    <x v="17"/>
    <n v="4188"/>
    <n v="942"/>
    <n v="118"/>
    <n v="20940"/>
    <n v="0.25062082139446035"/>
    <n v="20471"/>
    <n v="102"/>
    <x v="3"/>
    <x v="0"/>
    <x v="0"/>
  </r>
  <r>
    <x v="32"/>
    <x v="3"/>
    <s v="2025-04-06"/>
    <x v="4"/>
    <x v="11"/>
    <n v="4236"/>
    <n v="711"/>
    <n v="298"/>
    <n v="21180"/>
    <n v="0.24763928234183191"/>
    <n v="20516"/>
    <n v="238"/>
    <x v="2"/>
    <x v="0"/>
    <x v="0"/>
  </r>
  <r>
    <x v="33"/>
    <x v="1"/>
    <s v="2024-12-24"/>
    <x v="5"/>
    <x v="18"/>
    <n v="2166"/>
    <n v="354"/>
    <n v="117"/>
    <n v="10830"/>
    <n v="0.24349030470914126"/>
    <n v="10245"/>
    <n v="24"/>
    <x v="2"/>
    <x v="2"/>
    <x v="4"/>
  </r>
  <r>
    <x v="34"/>
    <x v="2"/>
    <s v="2025-03-21"/>
    <x v="4"/>
    <x v="7"/>
    <n v="606"/>
    <n v="789"/>
    <n v="470"/>
    <n v="7878"/>
    <n v="0.23673521198273673"/>
    <n v="7389"/>
    <n v="239"/>
    <x v="5"/>
    <x v="1"/>
    <x v="2"/>
  </r>
  <r>
    <x v="35"/>
    <x v="3"/>
    <s v="2024-10-11"/>
    <x v="4"/>
    <x v="11"/>
    <n v="400"/>
    <n v="680"/>
    <n v="434"/>
    <n v="6400"/>
    <n v="0.23656250000000001"/>
    <n v="5472"/>
    <n v="160"/>
    <x v="3"/>
    <x v="1"/>
    <x v="4"/>
  </r>
  <r>
    <x v="36"/>
    <x v="0"/>
    <s v="2024-06-14"/>
    <x v="0"/>
    <x v="0"/>
    <n v="4363"/>
    <n v="649"/>
    <n v="140"/>
    <n v="21815"/>
    <n v="0.23616777446710979"/>
    <n v="21481"/>
    <n v="157"/>
    <x v="3"/>
    <x v="1"/>
    <x v="2"/>
  </r>
  <r>
    <x v="37"/>
    <x v="3"/>
    <s v="2024-10-21"/>
    <x v="0"/>
    <x v="14"/>
    <n v="780"/>
    <n v="928"/>
    <n v="301"/>
    <n v="8580"/>
    <n v="0.23414918414918415"/>
    <n v="8081"/>
    <n v="91"/>
    <x v="2"/>
    <x v="3"/>
    <x v="2"/>
  </r>
  <r>
    <x v="38"/>
    <x v="1"/>
    <s v="2024-08-31"/>
    <x v="4"/>
    <x v="5"/>
    <n v="3170"/>
    <n v="857"/>
    <n v="379"/>
    <n v="19020"/>
    <n v="0.2316508937960042"/>
    <n v="18559"/>
    <n v="240"/>
    <x v="2"/>
    <x v="4"/>
    <x v="0"/>
  </r>
  <r>
    <x v="39"/>
    <x v="0"/>
    <s v="2025-04-08"/>
    <x v="4"/>
    <x v="9"/>
    <n v="4501"/>
    <n v="375"/>
    <n v="323"/>
    <n v="22505"/>
    <n v="0.23101532992668297"/>
    <n v="21836"/>
    <n v="132"/>
    <x v="3"/>
    <x v="3"/>
    <x v="4"/>
  </r>
  <r>
    <x v="40"/>
    <x v="0"/>
    <s v="2024-11-05"/>
    <x v="2"/>
    <x v="3"/>
    <n v="4561"/>
    <n v="51"/>
    <n v="441"/>
    <n v="22805"/>
    <n v="0.22157421618066214"/>
    <n v="21890"/>
    <n v="45"/>
    <x v="5"/>
    <x v="3"/>
    <x v="4"/>
  </r>
  <r>
    <x v="41"/>
    <x v="2"/>
    <s v="2025-03-05"/>
    <x v="1"/>
    <x v="19"/>
    <n v="1543"/>
    <n v="820"/>
    <n v="333"/>
    <n v="12344"/>
    <n v="0.21840570317563188"/>
    <n v="11496"/>
    <n v="241"/>
    <x v="3"/>
    <x v="4"/>
    <x v="2"/>
  </r>
  <r>
    <x v="42"/>
    <x v="0"/>
    <s v="2024-12-14"/>
    <x v="3"/>
    <x v="12"/>
    <n v="2174"/>
    <n v="658"/>
    <n v="15"/>
    <n v="13044"/>
    <n v="0.21826126954921804"/>
    <n v="12206"/>
    <n v="137"/>
    <x v="2"/>
    <x v="2"/>
    <x v="2"/>
  </r>
  <r>
    <x v="43"/>
    <x v="3"/>
    <s v="2024-11-25"/>
    <x v="0"/>
    <x v="14"/>
    <n v="2120"/>
    <n v="158"/>
    <n v="488"/>
    <n v="12720"/>
    <n v="0.21745283018867925"/>
    <n v="12085"/>
    <n v="17"/>
    <x v="2"/>
    <x v="4"/>
    <x v="4"/>
  </r>
  <r>
    <x v="44"/>
    <x v="2"/>
    <s v="2024-06-05"/>
    <x v="1"/>
    <x v="19"/>
    <n v="3065"/>
    <n v="772"/>
    <n v="142"/>
    <n v="18390"/>
    <n v="0.21636759108210984"/>
    <n v="17875"/>
    <n v="200"/>
    <x v="5"/>
    <x v="0"/>
    <x v="0"/>
  </r>
  <r>
    <x v="45"/>
    <x v="0"/>
    <s v="2025-01-31"/>
    <x v="3"/>
    <x v="12"/>
    <n v="2566"/>
    <n v="118"/>
    <n v="37"/>
    <n v="12830"/>
    <n v="0.21208106001558846"/>
    <n v="12264"/>
    <n v="221"/>
    <x v="2"/>
    <x v="3"/>
    <x v="4"/>
  </r>
  <r>
    <x v="46"/>
    <x v="3"/>
    <s v="2024-07-31"/>
    <x v="2"/>
    <x v="8"/>
    <n v="3008"/>
    <n v="94"/>
    <n v="37"/>
    <n v="15040"/>
    <n v="0.20871010638297871"/>
    <n v="14639"/>
    <n v="277"/>
    <x v="5"/>
    <x v="4"/>
    <x v="2"/>
  </r>
  <r>
    <x v="47"/>
    <x v="1"/>
    <s v="2024-06-06"/>
    <x v="2"/>
    <x v="20"/>
    <n v="1436"/>
    <n v="765"/>
    <n v="496"/>
    <n v="12924"/>
    <n v="0.20868152274837512"/>
    <n v="12701"/>
    <n v="197"/>
    <x v="2"/>
    <x v="4"/>
    <x v="2"/>
  </r>
  <r>
    <x v="48"/>
    <x v="0"/>
    <s v="2024-10-17"/>
    <x v="2"/>
    <x v="3"/>
    <n v="3575"/>
    <n v="749"/>
    <n v="111"/>
    <n v="21450"/>
    <n v="0.20675990675990677"/>
    <n v="20785"/>
    <n v="195"/>
    <x v="2"/>
    <x v="3"/>
    <x v="0"/>
  </r>
  <r>
    <x v="49"/>
    <x v="3"/>
    <s v="2025-03-04"/>
    <x v="0"/>
    <x v="14"/>
    <n v="1249"/>
    <n v="116"/>
    <n v="420"/>
    <n v="8743"/>
    <n v="0.20416333066453163"/>
    <n v="8538"/>
    <n v="63"/>
    <x v="2"/>
    <x v="2"/>
    <x v="2"/>
  </r>
  <r>
    <x v="50"/>
    <x v="0"/>
    <s v="2024-07-11"/>
    <x v="5"/>
    <x v="13"/>
    <n v="3134"/>
    <n v="888"/>
    <n v="444"/>
    <n v="21938"/>
    <n v="0.20357370772176134"/>
    <n v="21337"/>
    <n v="130"/>
    <x v="5"/>
    <x v="1"/>
    <x v="0"/>
  </r>
  <r>
    <x v="51"/>
    <x v="0"/>
    <s v="2024-08-05"/>
    <x v="0"/>
    <x v="0"/>
    <n v="3601"/>
    <n v="695"/>
    <n v="75"/>
    <n v="21606"/>
    <n v="0.2023049153013052"/>
    <n v="21454"/>
    <n v="172"/>
    <x v="2"/>
    <x v="3"/>
    <x v="2"/>
  </r>
  <r>
    <x v="52"/>
    <x v="1"/>
    <s v="2024-06-07"/>
    <x v="3"/>
    <x v="4"/>
    <n v="1556"/>
    <n v="195"/>
    <n v="131"/>
    <n v="9336"/>
    <n v="0.2015852613538989"/>
    <n v="8875"/>
    <n v="137"/>
    <x v="7"/>
    <x v="4"/>
    <x v="2"/>
  </r>
  <r>
    <x v="53"/>
    <x v="0"/>
    <s v="2025-04-15"/>
    <x v="2"/>
    <x v="3"/>
    <n v="4133"/>
    <n v="466"/>
    <n v="327"/>
    <n v="24798"/>
    <n v="0.19864505202032423"/>
    <n v="24620"/>
    <n v="176"/>
    <x v="5"/>
    <x v="1"/>
    <x v="2"/>
  </r>
  <r>
    <x v="54"/>
    <x v="1"/>
    <s v="2024-09-14"/>
    <x v="4"/>
    <x v="5"/>
    <n v="1048"/>
    <n v="374"/>
    <n v="450"/>
    <n v="9432"/>
    <n v="0.19847328244274809"/>
    <n v="8882"/>
    <n v="158"/>
    <x v="3"/>
    <x v="3"/>
    <x v="0"/>
  </r>
  <r>
    <x v="55"/>
    <x v="3"/>
    <s v="2025-04-22"/>
    <x v="4"/>
    <x v="11"/>
    <n v="4804"/>
    <n v="550"/>
    <n v="270"/>
    <n v="28824"/>
    <n v="0.19511518179295032"/>
    <n v="28370"/>
    <n v="47"/>
    <x v="5"/>
    <x v="2"/>
    <x v="2"/>
  </r>
  <r>
    <x v="56"/>
    <x v="2"/>
    <s v="2024-09-25"/>
    <x v="2"/>
    <x v="15"/>
    <n v="3389"/>
    <n v="344"/>
    <n v="229"/>
    <n v="20334"/>
    <n v="0.19484607062063539"/>
    <n v="19443"/>
    <n v="228"/>
    <x v="2"/>
    <x v="0"/>
    <x v="4"/>
  </r>
  <r>
    <x v="57"/>
    <x v="0"/>
    <s v="2024-12-08"/>
    <x v="0"/>
    <x v="0"/>
    <n v="2610"/>
    <n v="126"/>
    <n v="288"/>
    <n v="15660"/>
    <n v="0.19310344827586207"/>
    <n v="15145"/>
    <n v="73"/>
    <x v="2"/>
    <x v="3"/>
    <x v="3"/>
  </r>
  <r>
    <x v="58"/>
    <x v="0"/>
    <s v="2025-04-19"/>
    <x v="4"/>
    <x v="9"/>
    <n v="4177"/>
    <n v="569"/>
    <n v="55"/>
    <n v="25062"/>
    <n v="0.19156491900087783"/>
    <n v="24847"/>
    <n v="230"/>
    <x v="3"/>
    <x v="4"/>
    <x v="0"/>
  </r>
  <r>
    <x v="59"/>
    <x v="1"/>
    <s v="2024-07-31"/>
    <x v="3"/>
    <x v="4"/>
    <n v="2278"/>
    <n v="10"/>
    <n v="321"/>
    <n v="13668"/>
    <n v="0.19088381621305239"/>
    <n v="12676"/>
    <n v="275"/>
    <x v="8"/>
    <x v="2"/>
    <x v="4"/>
  </r>
  <r>
    <x v="60"/>
    <x v="3"/>
    <s v="2024-06-11"/>
    <x v="3"/>
    <x v="21"/>
    <n v="1869"/>
    <n v="453"/>
    <n v="490"/>
    <n v="14952"/>
    <n v="0.18806848582129482"/>
    <n v="14309"/>
    <n v="275"/>
    <x v="2"/>
    <x v="0"/>
    <x v="0"/>
  </r>
  <r>
    <x v="61"/>
    <x v="1"/>
    <s v="2024-07-18"/>
    <x v="3"/>
    <x v="4"/>
    <n v="2120"/>
    <n v="38"/>
    <n v="212"/>
    <n v="12720"/>
    <n v="0.18632075471698112"/>
    <n v="12564"/>
    <n v="21"/>
    <x v="2"/>
    <x v="2"/>
    <x v="2"/>
  </r>
  <r>
    <x v="62"/>
    <x v="3"/>
    <s v="2024-07-07"/>
    <x v="1"/>
    <x v="22"/>
    <n v="4767"/>
    <n v="190"/>
    <n v="340"/>
    <n v="28602"/>
    <n v="0.18519683938186141"/>
    <n v="28044"/>
    <n v="210"/>
    <x v="5"/>
    <x v="2"/>
    <x v="2"/>
  </r>
  <r>
    <x v="63"/>
    <x v="0"/>
    <s v="2025-03-08"/>
    <x v="1"/>
    <x v="1"/>
    <n v="456"/>
    <n v="629"/>
    <n v="428"/>
    <n v="8208"/>
    <n v="0.18433235867446393"/>
    <n v="7377"/>
    <n v="205"/>
    <x v="5"/>
    <x v="2"/>
    <x v="4"/>
  </r>
  <r>
    <x v="64"/>
    <x v="3"/>
    <s v="2024-06-19"/>
    <x v="3"/>
    <x v="21"/>
    <n v="4731"/>
    <n v="173"/>
    <n v="276"/>
    <n v="28386"/>
    <n v="0.18248432325794406"/>
    <n v="28185"/>
    <n v="89"/>
    <x v="3"/>
    <x v="4"/>
    <x v="4"/>
  </r>
  <r>
    <x v="65"/>
    <x v="3"/>
    <s v="2024-10-31"/>
    <x v="3"/>
    <x v="21"/>
    <n v="2945"/>
    <n v="930"/>
    <n v="355"/>
    <n v="23560"/>
    <n v="0.17954159592529711"/>
    <n v="23275"/>
    <n v="256"/>
    <x v="3"/>
    <x v="0"/>
    <x v="2"/>
  </r>
  <r>
    <x v="66"/>
    <x v="1"/>
    <s v="2025-01-01"/>
    <x v="2"/>
    <x v="20"/>
    <n v="754"/>
    <n v="197"/>
    <n v="257"/>
    <n v="6786"/>
    <n v="0.17801355732390214"/>
    <n v="6221"/>
    <n v="212"/>
    <x v="3"/>
    <x v="2"/>
    <x v="1"/>
  </r>
  <r>
    <x v="67"/>
    <x v="3"/>
    <s v="2025-01-06"/>
    <x v="3"/>
    <x v="21"/>
    <n v="3024"/>
    <n v="925"/>
    <n v="350"/>
    <n v="24192"/>
    <n v="0.17770337301587302"/>
    <n v="23518"/>
    <n v="36"/>
    <x v="3"/>
    <x v="4"/>
    <x v="2"/>
  </r>
  <r>
    <x v="68"/>
    <x v="3"/>
    <s v="2025-01-18"/>
    <x v="0"/>
    <x v="14"/>
    <n v="4321"/>
    <n v="874"/>
    <n v="172"/>
    <n v="30247"/>
    <n v="0.17743908486792079"/>
    <n v="29254"/>
    <n v="122"/>
    <x v="5"/>
    <x v="2"/>
    <x v="2"/>
  </r>
  <r>
    <x v="69"/>
    <x v="1"/>
    <s v="2024-10-05"/>
    <x v="0"/>
    <x v="2"/>
    <n v="1957"/>
    <n v="877"/>
    <n v="238"/>
    <n v="17613"/>
    <n v="0.17441662408448305"/>
    <n v="16865"/>
    <n v="297"/>
    <x v="2"/>
    <x v="4"/>
    <x v="0"/>
  </r>
  <r>
    <x v="70"/>
    <x v="1"/>
    <s v="2024-07-21"/>
    <x v="5"/>
    <x v="18"/>
    <n v="2147"/>
    <n v="430"/>
    <n v="393"/>
    <n v="17176"/>
    <n v="0.17291569632044715"/>
    <n v="16483"/>
    <n v="170"/>
    <x v="2"/>
    <x v="1"/>
    <x v="0"/>
  </r>
  <r>
    <x v="71"/>
    <x v="0"/>
    <s v="2025-03-04"/>
    <x v="2"/>
    <x v="3"/>
    <n v="432"/>
    <n v="624"/>
    <n v="123"/>
    <n v="6912"/>
    <n v="0.17057291666666666"/>
    <n v="6259"/>
    <n v="79"/>
    <x v="3"/>
    <x v="1"/>
    <x v="4"/>
  </r>
  <r>
    <x v="72"/>
    <x v="1"/>
    <s v="2025-05-02"/>
    <x v="2"/>
    <x v="20"/>
    <n v="1108"/>
    <n v="177"/>
    <n v="212"/>
    <n v="8864"/>
    <n v="0.16888537906137185"/>
    <n v="8710"/>
    <n v="97"/>
    <x v="5"/>
    <x v="3"/>
    <x v="4"/>
  </r>
  <r>
    <x v="73"/>
    <x v="1"/>
    <s v="2025-01-10"/>
    <x v="4"/>
    <x v="5"/>
    <n v="2214"/>
    <n v="249"/>
    <n v="152"/>
    <n v="15498"/>
    <n v="0.16873144921925409"/>
    <n v="14800"/>
    <n v="180"/>
    <x v="2"/>
    <x v="2"/>
    <x v="4"/>
  </r>
  <r>
    <x v="74"/>
    <x v="0"/>
    <s v="2024-11-07"/>
    <x v="4"/>
    <x v="9"/>
    <n v="2647"/>
    <n v="304"/>
    <n v="170"/>
    <n v="18529"/>
    <n v="0.16843866371633656"/>
    <n v="17841"/>
    <n v="46"/>
    <x v="2"/>
    <x v="3"/>
    <x v="4"/>
  </r>
  <r>
    <x v="75"/>
    <x v="2"/>
    <s v="2025-03-18"/>
    <x v="1"/>
    <x v="19"/>
    <n v="3704"/>
    <n v="186"/>
    <n v="458"/>
    <n v="25928"/>
    <n v="0.16769515581610614"/>
    <n v="25081"/>
    <n v="131"/>
    <x v="2"/>
    <x v="3"/>
    <x v="0"/>
  </r>
  <r>
    <x v="76"/>
    <x v="3"/>
    <s v="2024-08-05"/>
    <x v="1"/>
    <x v="22"/>
    <n v="1741"/>
    <n v="831"/>
    <n v="345"/>
    <n v="17410"/>
    <n v="0.16754738655944859"/>
    <n v="16844"/>
    <n v="58"/>
    <x v="2"/>
    <x v="4"/>
    <x v="2"/>
  </r>
  <r>
    <x v="77"/>
    <x v="1"/>
    <s v="2024-08-08"/>
    <x v="0"/>
    <x v="2"/>
    <n v="3649"/>
    <n v="215"/>
    <n v="413"/>
    <n v="25543"/>
    <n v="0.16744313510550835"/>
    <n v="24963"/>
    <n v="167"/>
    <x v="5"/>
    <x v="3"/>
    <x v="2"/>
  </r>
  <r>
    <x v="78"/>
    <x v="1"/>
    <s v="2025-02-24"/>
    <x v="3"/>
    <x v="4"/>
    <n v="2704"/>
    <n v="752"/>
    <n v="153"/>
    <n v="21632"/>
    <n v="0.16683616863905326"/>
    <n v="20792"/>
    <n v="127"/>
    <x v="3"/>
    <x v="1"/>
    <x v="4"/>
  </r>
  <r>
    <x v="79"/>
    <x v="1"/>
    <s v="2025-05-06"/>
    <x v="4"/>
    <x v="5"/>
    <n v="1952"/>
    <n v="344"/>
    <n v="287"/>
    <n v="15616"/>
    <n v="0.16540727459016394"/>
    <n v="15403"/>
    <n v="235"/>
    <x v="5"/>
    <x v="4"/>
    <x v="0"/>
  </r>
  <r>
    <x v="80"/>
    <x v="2"/>
    <s v="2025-03-13"/>
    <x v="3"/>
    <x v="6"/>
    <n v="1686"/>
    <n v="904"/>
    <n v="472"/>
    <n v="18546"/>
    <n v="0.16510298716704411"/>
    <n v="18171"/>
    <n v="52"/>
    <x v="2"/>
    <x v="2"/>
    <x v="2"/>
  </r>
  <r>
    <x v="81"/>
    <x v="0"/>
    <s v="2025-01-28"/>
    <x v="2"/>
    <x v="3"/>
    <n v="904"/>
    <n v="973"/>
    <n v="63"/>
    <n v="11752"/>
    <n v="0.1650782845473111"/>
    <n v="11580"/>
    <n v="84"/>
    <x v="9"/>
    <x v="2"/>
    <x v="2"/>
  </r>
  <r>
    <x v="82"/>
    <x v="2"/>
    <s v="2024-10-15"/>
    <x v="2"/>
    <x v="15"/>
    <n v="1094"/>
    <n v="472"/>
    <n v="21"/>
    <n v="9846"/>
    <n v="0.16118220597196831"/>
    <n v="9609"/>
    <n v="112"/>
    <x v="3"/>
    <x v="4"/>
    <x v="2"/>
  </r>
  <r>
    <x v="83"/>
    <x v="1"/>
    <s v="2025-03-29"/>
    <x v="4"/>
    <x v="5"/>
    <n v="305"/>
    <n v="187"/>
    <n v="243"/>
    <n v="4575"/>
    <n v="0.16065573770491803"/>
    <n v="3704"/>
    <n v="234"/>
    <x v="5"/>
    <x v="3"/>
    <x v="2"/>
  </r>
  <r>
    <x v="84"/>
    <x v="3"/>
    <s v="2025-03-23"/>
    <x v="2"/>
    <x v="8"/>
    <n v="4453"/>
    <n v="111"/>
    <n v="420"/>
    <n v="31171"/>
    <n v="0.15989220750056141"/>
    <n v="30565"/>
    <n v="23"/>
    <x v="5"/>
    <x v="0"/>
    <x v="0"/>
  </r>
  <r>
    <x v="85"/>
    <x v="3"/>
    <s v="2025-04-28"/>
    <x v="3"/>
    <x v="21"/>
    <n v="2089"/>
    <n v="476"/>
    <n v="69"/>
    <n v="16712"/>
    <n v="0.15761129727142173"/>
    <n v="16309"/>
    <n v="64"/>
    <x v="7"/>
    <x v="3"/>
    <x v="4"/>
  </r>
  <r>
    <x v="86"/>
    <x v="3"/>
    <s v="2025-01-03"/>
    <x v="4"/>
    <x v="11"/>
    <n v="947"/>
    <n v="338"/>
    <n v="350"/>
    <n v="10417"/>
    <n v="0.1569549774407219"/>
    <n v="9730"/>
    <n v="34"/>
    <x v="5"/>
    <x v="2"/>
    <x v="0"/>
  </r>
  <r>
    <x v="87"/>
    <x v="3"/>
    <s v="2024-07-15"/>
    <x v="4"/>
    <x v="11"/>
    <n v="2291"/>
    <n v="78"/>
    <n v="485"/>
    <n v="18328"/>
    <n v="0.15571802706241816"/>
    <n v="18101"/>
    <n v="10"/>
    <x v="2"/>
    <x v="3"/>
    <x v="2"/>
  </r>
  <r>
    <x v="88"/>
    <x v="1"/>
    <s v="2024-12-11"/>
    <x v="5"/>
    <x v="18"/>
    <n v="3239"/>
    <n v="43"/>
    <n v="211"/>
    <n v="22673"/>
    <n v="0.15405989502933004"/>
    <n v="22171"/>
    <n v="230"/>
    <x v="3"/>
    <x v="4"/>
    <x v="0"/>
  </r>
  <r>
    <x v="89"/>
    <x v="2"/>
    <s v="2025-02-27"/>
    <x v="5"/>
    <x v="17"/>
    <n v="4934"/>
    <n v="971"/>
    <n v="156"/>
    <n v="39472"/>
    <n v="0.15355188488042157"/>
    <n v="39025"/>
    <n v="169"/>
    <x v="2"/>
    <x v="3"/>
    <x v="2"/>
  </r>
  <r>
    <x v="90"/>
    <x v="2"/>
    <s v="2025-01-18"/>
    <x v="4"/>
    <x v="7"/>
    <n v="1206"/>
    <n v="238"/>
    <n v="36"/>
    <n v="9648"/>
    <n v="0.15339966832504145"/>
    <n v="9417"/>
    <n v="237"/>
    <x v="3"/>
    <x v="3"/>
    <x v="1"/>
  </r>
  <r>
    <x v="91"/>
    <x v="0"/>
    <s v="2024-10-21"/>
    <x v="1"/>
    <x v="1"/>
    <n v="3256"/>
    <n v="459"/>
    <n v="266"/>
    <n v="26048"/>
    <n v="0.15283323095823095"/>
    <n v="25529"/>
    <n v="143"/>
    <x v="5"/>
    <x v="2"/>
    <x v="4"/>
  </r>
  <r>
    <x v="92"/>
    <x v="0"/>
    <s v="2024-08-12"/>
    <x v="0"/>
    <x v="0"/>
    <n v="2404"/>
    <n v="363"/>
    <n v="138"/>
    <n v="19232"/>
    <n v="0.15105033277870217"/>
    <n v="18636"/>
    <n v="128"/>
    <x v="3"/>
    <x v="2"/>
    <x v="0"/>
  </r>
  <r>
    <x v="93"/>
    <x v="3"/>
    <s v="2025-02-16"/>
    <x v="0"/>
    <x v="14"/>
    <n v="4242"/>
    <n v="555"/>
    <n v="131"/>
    <n v="33936"/>
    <n v="0.14521452145214522"/>
    <n v="33802"/>
    <n v="265"/>
    <x v="5"/>
    <x v="2"/>
    <x v="0"/>
  </r>
  <r>
    <x v="94"/>
    <x v="0"/>
    <s v="2024-11-29"/>
    <x v="2"/>
    <x v="3"/>
    <n v="1176"/>
    <n v="464"/>
    <n v="394"/>
    <n v="14112"/>
    <n v="0.1441326530612245"/>
    <n v="13588"/>
    <n v="272"/>
    <x v="5"/>
    <x v="3"/>
    <x v="4"/>
  </r>
  <r>
    <x v="95"/>
    <x v="1"/>
    <s v="2024-12-05"/>
    <x v="2"/>
    <x v="20"/>
    <n v="1330"/>
    <n v="925"/>
    <n v="35"/>
    <n v="15960"/>
    <n v="0.14348370927318296"/>
    <n v="15379"/>
    <n v="229"/>
    <x v="5"/>
    <x v="4"/>
    <x v="3"/>
  </r>
  <r>
    <x v="96"/>
    <x v="1"/>
    <s v="2025-02-16"/>
    <x v="1"/>
    <x v="10"/>
    <n v="1076"/>
    <n v="313"/>
    <n v="306"/>
    <n v="11836"/>
    <n v="0.14320716458262928"/>
    <n v="11596"/>
    <n v="104"/>
    <x v="6"/>
    <x v="1"/>
    <x v="0"/>
  </r>
  <r>
    <x v="97"/>
    <x v="1"/>
    <s v="2024-12-29"/>
    <x v="3"/>
    <x v="4"/>
    <n v="4274"/>
    <n v="340"/>
    <n v="281"/>
    <n v="34192"/>
    <n v="0.14316214319138981"/>
    <n v="33446"/>
    <n v="129"/>
    <x v="5"/>
    <x v="3"/>
    <x v="2"/>
  </r>
  <r>
    <x v="98"/>
    <x v="1"/>
    <s v="2024-09-05"/>
    <x v="2"/>
    <x v="20"/>
    <n v="4886"/>
    <n v="983"/>
    <n v="409"/>
    <n v="43974"/>
    <n v="0.14276618001546368"/>
    <n v="43239"/>
    <n v="65"/>
    <x v="5"/>
    <x v="2"/>
    <x v="4"/>
  </r>
  <r>
    <x v="99"/>
    <x v="1"/>
    <s v="2024-09-08"/>
    <x v="3"/>
    <x v="4"/>
    <n v="3811"/>
    <n v="866"/>
    <n v="216"/>
    <n v="34299"/>
    <n v="0.14265722032712325"/>
    <n v="34088"/>
    <n v="233"/>
    <x v="3"/>
    <x v="4"/>
    <x v="2"/>
  </r>
  <r>
    <x v="100"/>
    <x v="0"/>
    <s v="2025-03-27"/>
    <x v="5"/>
    <x v="13"/>
    <n v="4941"/>
    <n v="414"/>
    <n v="266"/>
    <n v="39528"/>
    <n v="0.14220299534507186"/>
    <n v="39154"/>
    <n v="217"/>
    <x v="5"/>
    <x v="2"/>
    <x v="4"/>
  </r>
  <r>
    <x v="101"/>
    <x v="1"/>
    <s v="2025-03-07"/>
    <x v="4"/>
    <x v="5"/>
    <n v="4750"/>
    <n v="151"/>
    <n v="415"/>
    <n v="38000"/>
    <n v="0.13989473684210527"/>
    <n v="37792"/>
    <n v="299"/>
    <x v="3"/>
    <x v="1"/>
    <x v="0"/>
  </r>
  <r>
    <x v="102"/>
    <x v="3"/>
    <s v="2024-08-26"/>
    <x v="4"/>
    <x v="11"/>
    <n v="2581"/>
    <n v="517"/>
    <n v="117"/>
    <n v="23229"/>
    <n v="0.13840458048129492"/>
    <n v="22331"/>
    <n v="70"/>
    <x v="3"/>
    <x v="1"/>
    <x v="4"/>
  </r>
  <r>
    <x v="103"/>
    <x v="3"/>
    <s v="2024-06-22"/>
    <x v="5"/>
    <x v="16"/>
    <n v="3828"/>
    <n v="148"/>
    <n v="253"/>
    <n v="30624"/>
    <n v="0.13809430512016718"/>
    <n v="30229"/>
    <n v="235"/>
    <x v="2"/>
    <x v="2"/>
    <x v="0"/>
  </r>
  <r>
    <x v="104"/>
    <x v="2"/>
    <s v="2025-03-23"/>
    <x v="0"/>
    <x v="23"/>
    <n v="3655"/>
    <n v="568"/>
    <n v="286"/>
    <n v="32895"/>
    <n v="0.13707250341997265"/>
    <n v="32015"/>
    <n v="199"/>
    <x v="5"/>
    <x v="0"/>
    <x v="0"/>
  </r>
  <r>
    <x v="105"/>
    <x v="0"/>
    <s v="2024-08-15"/>
    <x v="3"/>
    <x v="12"/>
    <n v="914"/>
    <n v="464"/>
    <n v="246"/>
    <n v="11882"/>
    <n v="0.13667732704931829"/>
    <n v="11500"/>
    <n v="282"/>
    <x v="2"/>
    <x v="3"/>
    <x v="0"/>
  </r>
  <r>
    <x v="106"/>
    <x v="1"/>
    <s v="2024-07-28"/>
    <x v="4"/>
    <x v="5"/>
    <n v="3215"/>
    <n v="960"/>
    <n v="202"/>
    <n v="32150"/>
    <n v="0.13614307931570763"/>
    <n v="31404"/>
    <n v="251"/>
    <x v="2"/>
    <x v="4"/>
    <x v="2"/>
  </r>
  <r>
    <x v="107"/>
    <x v="1"/>
    <s v="2024-10-21"/>
    <x v="0"/>
    <x v="2"/>
    <n v="3801"/>
    <n v="967"/>
    <n v="401"/>
    <n v="38010"/>
    <n v="0.13599052880820836"/>
    <n v="37625"/>
    <n v="236"/>
    <x v="2"/>
    <x v="1"/>
    <x v="1"/>
  </r>
  <r>
    <x v="108"/>
    <x v="3"/>
    <s v="2024-07-07"/>
    <x v="0"/>
    <x v="14"/>
    <n v="302"/>
    <n v="47"/>
    <n v="430"/>
    <n v="5738"/>
    <n v="0.13576158940397351"/>
    <n v="4890"/>
    <n v="25"/>
    <x v="5"/>
    <x v="2"/>
    <x v="0"/>
  </r>
  <r>
    <x v="109"/>
    <x v="2"/>
    <s v="2024-07-18"/>
    <x v="5"/>
    <x v="17"/>
    <n v="4021"/>
    <n v="794"/>
    <n v="77"/>
    <n v="36189"/>
    <n v="0.13517919809886983"/>
    <n v="35505"/>
    <n v="174"/>
    <x v="3"/>
    <x v="1"/>
    <x v="0"/>
  </r>
  <r>
    <x v="110"/>
    <x v="2"/>
    <s v="2024-07-03"/>
    <x v="0"/>
    <x v="23"/>
    <n v="2754"/>
    <n v="130"/>
    <n v="90"/>
    <n v="22032"/>
    <n v="0.13498547567175018"/>
    <n v="21288"/>
    <n v="112"/>
    <x v="2"/>
    <x v="1"/>
    <x v="4"/>
  </r>
  <r>
    <x v="111"/>
    <x v="0"/>
    <s v="2025-03-04"/>
    <x v="0"/>
    <x v="0"/>
    <n v="1947"/>
    <n v="842"/>
    <n v="101"/>
    <n v="21417"/>
    <n v="0.13493953401503478"/>
    <n v="20967"/>
    <n v="186"/>
    <x v="5"/>
    <x v="2"/>
    <x v="0"/>
  </r>
  <r>
    <x v="112"/>
    <x v="0"/>
    <s v="2024-07-03"/>
    <x v="3"/>
    <x v="12"/>
    <n v="4799"/>
    <n v="694"/>
    <n v="289"/>
    <n v="43191"/>
    <n v="0.13387048227640017"/>
    <n v="42228"/>
    <n v="118"/>
    <x v="3"/>
    <x v="0"/>
    <x v="4"/>
  </r>
  <r>
    <x v="113"/>
    <x v="2"/>
    <s v="2024-10-28"/>
    <x v="1"/>
    <x v="19"/>
    <n v="1855"/>
    <n v="200"/>
    <n v="174"/>
    <n v="16695"/>
    <n v="0.13351302785265048"/>
    <n v="16330"/>
    <n v="123"/>
    <x v="5"/>
    <x v="0"/>
    <x v="4"/>
  </r>
  <r>
    <x v="114"/>
    <x v="1"/>
    <s v="2025-01-14"/>
    <x v="4"/>
    <x v="5"/>
    <n v="2692"/>
    <n v="115"/>
    <n v="64"/>
    <n v="21536"/>
    <n v="0.13331166419019316"/>
    <n v="21120"/>
    <n v="224"/>
    <x v="6"/>
    <x v="3"/>
    <x v="2"/>
  </r>
  <r>
    <x v="115"/>
    <x v="0"/>
    <s v="2024-10-21"/>
    <x v="1"/>
    <x v="1"/>
    <n v="4840"/>
    <n v="658"/>
    <n v="211"/>
    <n v="43560"/>
    <n v="0.13106060606060607"/>
    <n v="43225"/>
    <n v="57"/>
    <x v="2"/>
    <x v="4"/>
    <x v="0"/>
  </r>
  <r>
    <x v="116"/>
    <x v="3"/>
    <s v="2024-08-19"/>
    <x v="5"/>
    <x v="16"/>
    <n v="1257"/>
    <n v="19"/>
    <n v="351"/>
    <n v="12570"/>
    <n v="0.12943516308671441"/>
    <n v="11660"/>
    <n v="194"/>
    <x v="3"/>
    <x v="3"/>
    <x v="2"/>
  </r>
  <r>
    <x v="117"/>
    <x v="1"/>
    <s v="2024-11-14"/>
    <x v="0"/>
    <x v="2"/>
    <n v="4000"/>
    <n v="689"/>
    <n v="488"/>
    <n v="40000"/>
    <n v="0.12942500000000001"/>
    <n v="39569"/>
    <n v="44"/>
    <x v="5"/>
    <x v="2"/>
    <x v="2"/>
  </r>
  <r>
    <x v="118"/>
    <x v="3"/>
    <s v="2024-12-18"/>
    <x v="3"/>
    <x v="21"/>
    <n v="2946"/>
    <n v="498"/>
    <n v="367"/>
    <n v="29460"/>
    <n v="0.12936184657162253"/>
    <n v="28527"/>
    <n v="60"/>
    <x v="5"/>
    <x v="4"/>
    <x v="2"/>
  </r>
  <r>
    <x v="119"/>
    <x v="0"/>
    <s v="2024-06-14"/>
    <x v="3"/>
    <x v="12"/>
    <n v="498"/>
    <n v="38"/>
    <n v="42"/>
    <n v="4482"/>
    <n v="0.12896028558679162"/>
    <n v="3647"/>
    <n v="32"/>
    <x v="3"/>
    <x v="2"/>
    <x v="0"/>
  </r>
  <r>
    <x v="120"/>
    <x v="3"/>
    <s v="2024-07-21"/>
    <x v="1"/>
    <x v="22"/>
    <n v="1946"/>
    <n v="686"/>
    <n v="377"/>
    <n v="23352"/>
    <n v="0.12885405960945528"/>
    <n v="22982"/>
    <n v="213"/>
    <x v="5"/>
    <x v="4"/>
    <x v="4"/>
  </r>
  <r>
    <x v="121"/>
    <x v="3"/>
    <s v="2024-12-22"/>
    <x v="4"/>
    <x v="11"/>
    <n v="3196"/>
    <n v="941"/>
    <n v="376"/>
    <n v="35156"/>
    <n v="0.1283706906360223"/>
    <n v="34444"/>
    <n v="241"/>
    <x v="3"/>
    <x v="1"/>
    <x v="2"/>
  </r>
  <r>
    <x v="122"/>
    <x v="3"/>
    <s v="2024-08-21"/>
    <x v="4"/>
    <x v="11"/>
    <n v="1407"/>
    <n v="400"/>
    <n v="351"/>
    <n v="16884"/>
    <n v="0.12781331438047855"/>
    <n v="15954"/>
    <n v="113"/>
    <x v="3"/>
    <x v="0"/>
    <x v="0"/>
  </r>
  <r>
    <x v="123"/>
    <x v="2"/>
    <s v="2025-02-17"/>
    <x v="1"/>
    <x v="19"/>
    <n v="3138"/>
    <n v="123"/>
    <n v="291"/>
    <n v="28242"/>
    <n v="0.12577012959422137"/>
    <n v="27550"/>
    <n v="87"/>
    <x v="3"/>
    <x v="0"/>
    <x v="4"/>
  </r>
  <r>
    <x v="124"/>
    <x v="0"/>
    <s v="2024-12-19"/>
    <x v="5"/>
    <x v="13"/>
    <n v="1813"/>
    <n v="623"/>
    <n v="72"/>
    <n v="19943"/>
    <n v="0.12575841147269717"/>
    <n v="18959"/>
    <n v="85"/>
    <x v="2"/>
    <x v="3"/>
    <x v="0"/>
  </r>
  <r>
    <x v="125"/>
    <x v="1"/>
    <s v="2025-01-10"/>
    <x v="4"/>
    <x v="5"/>
    <n v="3092"/>
    <n v="106"/>
    <n v="291"/>
    <n v="27828"/>
    <n v="0.12537731780940059"/>
    <n v="27217"/>
    <n v="102"/>
    <x v="5"/>
    <x v="4"/>
    <x v="2"/>
  </r>
  <r>
    <x v="126"/>
    <x v="2"/>
    <s v="2024-12-03"/>
    <x v="2"/>
    <x v="15"/>
    <n v="3809"/>
    <n v="273"/>
    <n v="200"/>
    <n v="34281"/>
    <n v="0.12490884163239112"/>
    <n v="33534"/>
    <n v="83"/>
    <x v="5"/>
    <x v="2"/>
    <x v="1"/>
  </r>
  <r>
    <x v="127"/>
    <x v="3"/>
    <s v="2025-05-14"/>
    <x v="5"/>
    <x v="16"/>
    <n v="2634"/>
    <n v="726"/>
    <n v="241"/>
    <n v="28974"/>
    <n v="0.12428384068475185"/>
    <n v="28102"/>
    <n v="277"/>
    <x v="5"/>
    <x v="4"/>
    <x v="2"/>
  </r>
  <r>
    <x v="128"/>
    <x v="3"/>
    <s v="2024-11-17"/>
    <x v="5"/>
    <x v="16"/>
    <n v="880"/>
    <n v="297"/>
    <n v="345"/>
    <n v="12320"/>
    <n v="0.12353896103896105"/>
    <n v="11978"/>
    <n v="238"/>
    <x v="2"/>
    <x v="4"/>
    <x v="4"/>
  </r>
  <r>
    <x v="129"/>
    <x v="2"/>
    <s v="2025-03-03"/>
    <x v="2"/>
    <x v="15"/>
    <n v="3874"/>
    <n v="884"/>
    <n v="19"/>
    <n v="38740"/>
    <n v="0.123309241094476"/>
    <n v="38552"/>
    <n v="219"/>
    <x v="3"/>
    <x v="3"/>
    <x v="0"/>
  </r>
  <r>
    <x v="130"/>
    <x v="0"/>
    <s v="2024-07-29"/>
    <x v="1"/>
    <x v="1"/>
    <n v="3523"/>
    <n v="753"/>
    <n v="482"/>
    <n v="38753"/>
    <n v="0.12277759141227776"/>
    <n v="38579"/>
    <n v="270"/>
    <x v="5"/>
    <x v="2"/>
    <x v="0"/>
  </r>
  <r>
    <x v="131"/>
    <x v="3"/>
    <s v="2025-01-12"/>
    <x v="1"/>
    <x v="22"/>
    <n v="4134"/>
    <n v="824"/>
    <n v="99"/>
    <n v="41340"/>
    <n v="0.12232704402515723"/>
    <n v="41050"/>
    <n v="177"/>
    <x v="5"/>
    <x v="1"/>
    <x v="4"/>
  </r>
  <r>
    <x v="132"/>
    <x v="0"/>
    <s v="2024-08-01"/>
    <x v="1"/>
    <x v="1"/>
    <n v="1674"/>
    <n v="929"/>
    <n v="37"/>
    <n v="21762"/>
    <n v="0.12131237937689551"/>
    <n v="20998"/>
    <n v="255"/>
    <x v="2"/>
    <x v="3"/>
    <x v="0"/>
  </r>
  <r>
    <x v="133"/>
    <x v="3"/>
    <s v="2025-04-03"/>
    <x v="0"/>
    <x v="14"/>
    <n v="3767"/>
    <n v="514"/>
    <n v="238"/>
    <n v="37670"/>
    <n v="0.11996283514733209"/>
    <n v="36807"/>
    <n v="226"/>
    <x v="2"/>
    <x v="0"/>
    <x v="4"/>
  </r>
  <r>
    <x v="134"/>
    <x v="2"/>
    <s v="2024-09-02"/>
    <x v="3"/>
    <x v="6"/>
    <n v="2551"/>
    <n v="915"/>
    <n v="205"/>
    <n v="30612"/>
    <n v="0.1199202926956749"/>
    <n v="30360"/>
    <n v="227"/>
    <x v="5"/>
    <x v="3"/>
    <x v="4"/>
  </r>
  <r>
    <x v="135"/>
    <x v="0"/>
    <s v="2025-03-28"/>
    <x v="0"/>
    <x v="0"/>
    <n v="1881"/>
    <n v="501"/>
    <n v="99"/>
    <n v="20691"/>
    <n v="0.11990720603160794"/>
    <n v="19987"/>
    <n v="289"/>
    <x v="3"/>
    <x v="3"/>
    <x v="4"/>
  </r>
  <r>
    <x v="136"/>
    <x v="3"/>
    <s v="2024-08-27"/>
    <x v="1"/>
    <x v="22"/>
    <n v="3960"/>
    <n v="266"/>
    <n v="8"/>
    <n v="35640"/>
    <n v="0.11879910213243547"/>
    <n v="34850"/>
    <n v="208"/>
    <x v="5"/>
    <x v="4"/>
    <x v="2"/>
  </r>
  <r>
    <x v="137"/>
    <x v="0"/>
    <s v="2024-11-30"/>
    <x v="2"/>
    <x v="3"/>
    <n v="3775"/>
    <n v="16"/>
    <n v="239"/>
    <n v="33975"/>
    <n v="0.11861662987490802"/>
    <n v="33310"/>
    <n v="271"/>
    <x v="5"/>
    <x v="2"/>
    <x v="0"/>
  </r>
  <r>
    <x v="138"/>
    <x v="1"/>
    <s v="2024-11-04"/>
    <x v="4"/>
    <x v="5"/>
    <n v="1606"/>
    <n v="451"/>
    <n v="405"/>
    <n v="20878"/>
    <n v="0.11792317271769326"/>
    <n v="20190"/>
    <n v="219"/>
    <x v="3"/>
    <x v="0"/>
    <x v="0"/>
  </r>
  <r>
    <x v="139"/>
    <x v="0"/>
    <s v="2025-03-27"/>
    <x v="3"/>
    <x v="12"/>
    <n v="1377"/>
    <n v="796"/>
    <n v="387"/>
    <n v="22032"/>
    <n v="0.11619462599854757"/>
    <n v="21869"/>
    <n v="189"/>
    <x v="10"/>
    <x v="1"/>
    <x v="0"/>
  </r>
  <r>
    <x v="140"/>
    <x v="0"/>
    <s v="2025-02-02"/>
    <x v="0"/>
    <x v="0"/>
    <n v="1792"/>
    <n v="614"/>
    <n v="497"/>
    <n v="25088"/>
    <n v="0.11571269132653061"/>
    <n v="24675"/>
    <n v="65"/>
    <x v="5"/>
    <x v="4"/>
    <x v="2"/>
  </r>
  <r>
    <x v="141"/>
    <x v="1"/>
    <s v="2025-02-19"/>
    <x v="5"/>
    <x v="18"/>
    <n v="4671"/>
    <n v="876"/>
    <n v="366"/>
    <n v="51381"/>
    <n v="0.11508145034156594"/>
    <n v="50565"/>
    <n v="245"/>
    <x v="5"/>
    <x v="3"/>
    <x v="4"/>
  </r>
  <r>
    <x v="142"/>
    <x v="2"/>
    <s v="2024-12-21"/>
    <x v="4"/>
    <x v="7"/>
    <n v="2283"/>
    <n v="210"/>
    <n v="130"/>
    <n v="22830"/>
    <n v="0.11489268506351293"/>
    <n v="22617"/>
    <n v="143"/>
    <x v="2"/>
    <x v="2"/>
    <x v="0"/>
  </r>
  <r>
    <x v="143"/>
    <x v="1"/>
    <s v="2024-09-17"/>
    <x v="5"/>
    <x v="18"/>
    <n v="571"/>
    <n v="190"/>
    <n v="352"/>
    <n v="9707"/>
    <n v="0.11465952405480581"/>
    <n v="9418"/>
    <n v="231"/>
    <x v="3"/>
    <x v="3"/>
    <x v="0"/>
  </r>
  <r>
    <x v="144"/>
    <x v="1"/>
    <s v="2024-10-02"/>
    <x v="3"/>
    <x v="4"/>
    <n v="4419"/>
    <n v="236"/>
    <n v="369"/>
    <n v="44190"/>
    <n v="0.11369088028965829"/>
    <n v="43582"/>
    <n v="10"/>
    <x v="2"/>
    <x v="3"/>
    <x v="2"/>
  </r>
  <r>
    <x v="145"/>
    <x v="0"/>
    <s v="2024-08-11"/>
    <x v="0"/>
    <x v="0"/>
    <n v="1762"/>
    <n v="405"/>
    <n v="423"/>
    <n v="22906"/>
    <n v="0.11307081114118571"/>
    <n v="21925"/>
    <n v="25"/>
    <x v="11"/>
    <x v="4"/>
    <x v="2"/>
  </r>
  <r>
    <x v="146"/>
    <x v="1"/>
    <s v="2024-06-10"/>
    <x v="0"/>
    <x v="2"/>
    <n v="1575"/>
    <n v="771"/>
    <n v="486"/>
    <n v="25200"/>
    <n v="0.11238095238095239"/>
    <n v="24826"/>
    <n v="17"/>
    <x v="2"/>
    <x v="1"/>
    <x v="0"/>
  </r>
  <r>
    <x v="147"/>
    <x v="0"/>
    <s v="2024-06-12"/>
    <x v="5"/>
    <x v="13"/>
    <n v="246"/>
    <n v="149"/>
    <n v="130"/>
    <n v="4674"/>
    <n v="0.11232349165596919"/>
    <n v="4390"/>
    <n v="217"/>
    <x v="3"/>
    <x v="3"/>
    <x v="4"/>
  </r>
  <r>
    <x v="148"/>
    <x v="3"/>
    <s v="2024-10-08"/>
    <x v="1"/>
    <x v="22"/>
    <n v="1814"/>
    <n v="653"/>
    <n v="363"/>
    <n v="25396"/>
    <n v="0.11143487163332809"/>
    <n v="25286"/>
    <n v="39"/>
    <x v="3"/>
    <x v="0"/>
    <x v="0"/>
  </r>
  <r>
    <x v="149"/>
    <x v="1"/>
    <s v="2024-11-26"/>
    <x v="5"/>
    <x v="18"/>
    <n v="4516"/>
    <n v="836"/>
    <n v="169"/>
    <n v="49676"/>
    <n v="0.11114018842096787"/>
    <n v="49257"/>
    <n v="282"/>
    <x v="2"/>
    <x v="3"/>
    <x v="0"/>
  </r>
  <r>
    <x v="150"/>
    <x v="0"/>
    <s v="2024-07-26"/>
    <x v="4"/>
    <x v="9"/>
    <n v="3559"/>
    <n v="59"/>
    <n v="289"/>
    <n v="35590"/>
    <n v="0.10977802753582468"/>
    <n v="35105"/>
    <n v="122"/>
    <x v="3"/>
    <x v="0"/>
    <x v="4"/>
  </r>
  <r>
    <x v="151"/>
    <x v="3"/>
    <s v="2024-10-22"/>
    <x v="3"/>
    <x v="21"/>
    <n v="3352"/>
    <n v="941"/>
    <n v="482"/>
    <n v="43576"/>
    <n v="0.1095786671562328"/>
    <n v="43338"/>
    <n v="240"/>
    <x v="3"/>
    <x v="3"/>
    <x v="4"/>
  </r>
  <r>
    <x v="152"/>
    <x v="2"/>
    <s v="2024-07-23"/>
    <x v="0"/>
    <x v="23"/>
    <n v="4775"/>
    <n v="173"/>
    <n v="206"/>
    <n v="47750"/>
    <n v="0.10793717277486911"/>
    <n v="47544"/>
    <n v="187"/>
    <x v="2"/>
    <x v="2"/>
    <x v="5"/>
  </r>
  <r>
    <x v="153"/>
    <x v="1"/>
    <s v="2024-06-24"/>
    <x v="5"/>
    <x v="18"/>
    <n v="941"/>
    <n v="121"/>
    <n v="458"/>
    <n v="14115"/>
    <n v="0.10768685795253277"/>
    <n v="13838"/>
    <n v="87"/>
    <x v="5"/>
    <x v="3"/>
    <x v="0"/>
  </r>
  <r>
    <x v="154"/>
    <x v="0"/>
    <s v="2024-10-03"/>
    <x v="2"/>
    <x v="3"/>
    <n v="1488"/>
    <n v="417"/>
    <n v="168"/>
    <n v="19344"/>
    <n v="0.1071650124069479"/>
    <n v="18395"/>
    <n v="30"/>
    <x v="5"/>
    <x v="1"/>
    <x v="0"/>
  </r>
  <r>
    <x v="155"/>
    <x v="1"/>
    <s v="2024-06-10"/>
    <x v="0"/>
    <x v="2"/>
    <n v="2164"/>
    <n v="549"/>
    <n v="274"/>
    <n v="28132"/>
    <n v="0.10617801791554102"/>
    <n v="27361"/>
    <n v="177"/>
    <x v="5"/>
    <x v="1"/>
    <x v="2"/>
  </r>
  <r>
    <x v="156"/>
    <x v="1"/>
    <s v="2025-04-24"/>
    <x v="2"/>
    <x v="20"/>
    <n v="3820"/>
    <n v="697"/>
    <n v="268"/>
    <n v="45840"/>
    <n v="0.1043848167539267"/>
    <n v="45631"/>
    <n v="171"/>
    <x v="5"/>
    <x v="1"/>
    <x v="4"/>
  </r>
  <r>
    <x v="157"/>
    <x v="2"/>
    <s v="2024-07-13"/>
    <x v="4"/>
    <x v="7"/>
    <n v="3929"/>
    <n v="262"/>
    <n v="278"/>
    <n v="43219"/>
    <n v="0.10340359564080613"/>
    <n v="42841"/>
    <n v="39"/>
    <x v="2"/>
    <x v="0"/>
    <x v="2"/>
  </r>
  <r>
    <x v="158"/>
    <x v="1"/>
    <s v="2024-09-10"/>
    <x v="4"/>
    <x v="5"/>
    <n v="1238"/>
    <n v="366"/>
    <n v="444"/>
    <n v="19808"/>
    <n v="0.10339256865912763"/>
    <n v="19334"/>
    <n v="123"/>
    <x v="5"/>
    <x v="1"/>
    <x v="4"/>
  </r>
  <r>
    <x v="159"/>
    <x v="0"/>
    <s v="2024-08-19"/>
    <x v="1"/>
    <x v="1"/>
    <n v="3000"/>
    <n v="382"/>
    <n v="325"/>
    <n v="36000"/>
    <n v="0.10297222222222223"/>
    <n v="35819"/>
    <n v="19"/>
    <x v="2"/>
    <x v="4"/>
    <x v="1"/>
  </r>
  <r>
    <x v="160"/>
    <x v="3"/>
    <s v="2024-07-31"/>
    <x v="4"/>
    <x v="11"/>
    <n v="4689"/>
    <n v="134"/>
    <n v="403"/>
    <n v="51579"/>
    <n v="0.10132030477519921"/>
    <n v="50924"/>
    <n v="173"/>
    <x v="2"/>
    <x v="3"/>
    <x v="2"/>
  </r>
  <r>
    <x v="161"/>
    <x v="3"/>
    <s v="2024-11-25"/>
    <x v="0"/>
    <x v="14"/>
    <n v="4182"/>
    <n v="640"/>
    <n v="240"/>
    <n v="50184"/>
    <n v="0.10086880280567512"/>
    <n v="49351"/>
    <n v="10"/>
    <x v="5"/>
    <x v="4"/>
    <x v="4"/>
  </r>
  <r>
    <x v="162"/>
    <x v="0"/>
    <s v="2024-06-23"/>
    <x v="2"/>
    <x v="3"/>
    <n v="1071"/>
    <n v="519"/>
    <n v="22"/>
    <n v="16065"/>
    <n v="0.10034235916588857"/>
    <n v="15865"/>
    <n v="103"/>
    <x v="2"/>
    <x v="1"/>
    <x v="4"/>
  </r>
  <r>
    <x v="163"/>
    <x v="1"/>
    <s v="2025-03-25"/>
    <x v="2"/>
    <x v="20"/>
    <n v="4050"/>
    <n v="871"/>
    <n v="347"/>
    <n v="52650"/>
    <n v="0.10005698005698006"/>
    <n v="51755"/>
    <n v="209"/>
    <x v="6"/>
    <x v="3"/>
    <x v="2"/>
  </r>
  <r>
    <x v="164"/>
    <x v="0"/>
    <s v="2025-03-28"/>
    <x v="3"/>
    <x v="12"/>
    <n v="4158"/>
    <n v="167"/>
    <n v="241"/>
    <n v="45738"/>
    <n v="9.9829463465827106E-2"/>
    <n v="45183"/>
    <n v="142"/>
    <x v="2"/>
    <x v="1"/>
    <x v="4"/>
  </r>
  <r>
    <x v="165"/>
    <x v="3"/>
    <s v="2024-06-11"/>
    <x v="4"/>
    <x v="11"/>
    <n v="3689"/>
    <n v="48"/>
    <n v="306"/>
    <n v="40579"/>
    <n v="9.9632815002833983E-2"/>
    <n v="39588"/>
    <n v="212"/>
    <x v="5"/>
    <x v="0"/>
    <x v="4"/>
  </r>
  <r>
    <x v="166"/>
    <x v="2"/>
    <s v="2024-12-03"/>
    <x v="0"/>
    <x v="23"/>
    <n v="4285"/>
    <n v="886"/>
    <n v="376"/>
    <n v="55705"/>
    <n v="9.9578134817341346E-2"/>
    <n v="55556"/>
    <n v="51"/>
    <x v="5"/>
    <x v="4"/>
    <x v="2"/>
  </r>
  <r>
    <x v="167"/>
    <x v="1"/>
    <s v="2024-09-11"/>
    <x v="4"/>
    <x v="5"/>
    <n v="4858"/>
    <n v="317"/>
    <n v="129"/>
    <n v="53438"/>
    <n v="9.9255211647142488E-2"/>
    <n v="52687"/>
    <n v="223"/>
    <x v="3"/>
    <x v="0"/>
    <x v="0"/>
  </r>
  <r>
    <x v="168"/>
    <x v="0"/>
    <s v="2024-11-28"/>
    <x v="5"/>
    <x v="13"/>
    <n v="4771"/>
    <n v="818"/>
    <n v="56"/>
    <n v="57252"/>
    <n v="9.859917557465242E-2"/>
    <n v="56378"/>
    <n v="150"/>
    <x v="3"/>
    <x v="0"/>
    <x v="0"/>
  </r>
  <r>
    <x v="169"/>
    <x v="1"/>
    <s v="2025-03-02"/>
    <x v="4"/>
    <x v="5"/>
    <n v="2358"/>
    <n v="784"/>
    <n v="344"/>
    <n v="35370"/>
    <n v="9.8558100084817649E-2"/>
    <n v="34475"/>
    <n v="216"/>
    <x v="2"/>
    <x v="2"/>
    <x v="0"/>
  </r>
  <r>
    <x v="170"/>
    <x v="2"/>
    <s v="2024-12-31"/>
    <x v="2"/>
    <x v="15"/>
    <n v="1018"/>
    <n v="447"/>
    <n v="332"/>
    <n v="18324"/>
    <n v="9.8068107400130972E-2"/>
    <n v="18164"/>
    <n v="38"/>
    <x v="5"/>
    <x v="1"/>
    <x v="0"/>
  </r>
  <r>
    <x v="171"/>
    <x v="2"/>
    <s v="2024-10-12"/>
    <x v="0"/>
    <x v="23"/>
    <n v="3641"/>
    <n v="226"/>
    <n v="46"/>
    <n v="40051"/>
    <n v="9.7700431949264685E-2"/>
    <n v="39319"/>
    <n v="296"/>
    <x v="3"/>
    <x v="2"/>
    <x v="2"/>
  </r>
  <r>
    <x v="172"/>
    <x v="1"/>
    <s v="2025-03-06"/>
    <x v="4"/>
    <x v="5"/>
    <n v="3592"/>
    <n v="911"/>
    <n v="375"/>
    <n v="50288"/>
    <n v="9.7001272669424113E-2"/>
    <n v="49490"/>
    <n v="32"/>
    <x v="5"/>
    <x v="2"/>
    <x v="0"/>
  </r>
  <r>
    <x v="173"/>
    <x v="0"/>
    <s v="2025-01-11"/>
    <x v="3"/>
    <x v="12"/>
    <n v="4523"/>
    <n v="61"/>
    <n v="157"/>
    <n v="49753"/>
    <n v="9.5290736237010829E-2"/>
    <n v="49329"/>
    <n v="71"/>
    <x v="3"/>
    <x v="4"/>
    <x v="2"/>
  </r>
  <r>
    <x v="174"/>
    <x v="0"/>
    <s v="2024-10-19"/>
    <x v="0"/>
    <x v="0"/>
    <n v="1816"/>
    <n v="29"/>
    <n v="41"/>
    <n v="19976"/>
    <n v="9.4413295955146179E-2"/>
    <n v="19262"/>
    <n v="283"/>
    <x v="5"/>
    <x v="3"/>
    <x v="2"/>
  </r>
  <r>
    <x v="175"/>
    <x v="3"/>
    <s v="2025-05-05"/>
    <x v="5"/>
    <x v="16"/>
    <n v="4441"/>
    <n v="511"/>
    <n v="70"/>
    <n v="53292"/>
    <n v="9.4235532537716729E-2"/>
    <n v="53082"/>
    <n v="159"/>
    <x v="2"/>
    <x v="0"/>
    <x v="0"/>
  </r>
  <r>
    <x v="176"/>
    <x v="2"/>
    <s v="2024-10-29"/>
    <x v="5"/>
    <x v="17"/>
    <n v="2746"/>
    <n v="156"/>
    <n v="203"/>
    <n v="32952"/>
    <n v="9.422796795338674E-2"/>
    <n v="32147"/>
    <n v="147"/>
    <x v="2"/>
    <x v="2"/>
    <x v="2"/>
  </r>
  <r>
    <x v="177"/>
    <x v="1"/>
    <s v="2025-03-08"/>
    <x v="5"/>
    <x v="18"/>
    <n v="1292"/>
    <n v="626"/>
    <n v="496"/>
    <n v="25840"/>
    <n v="9.3421052631578946E-2"/>
    <n v="24916"/>
    <n v="149"/>
    <x v="2"/>
    <x v="3"/>
    <x v="2"/>
  </r>
  <r>
    <x v="178"/>
    <x v="0"/>
    <s v="2024-06-22"/>
    <x v="5"/>
    <x v="13"/>
    <n v="2180"/>
    <n v="263"/>
    <n v="387"/>
    <n v="30520"/>
    <n v="9.2726081258191345E-2"/>
    <n v="30059"/>
    <n v="174"/>
    <x v="2"/>
    <x v="4"/>
    <x v="1"/>
  </r>
  <r>
    <x v="179"/>
    <x v="2"/>
    <s v="2025-02-10"/>
    <x v="2"/>
    <x v="15"/>
    <n v="1766"/>
    <n v="92"/>
    <n v="424"/>
    <n v="24724"/>
    <n v="9.2298980747451867E-2"/>
    <n v="24333"/>
    <n v="52"/>
    <x v="2"/>
    <x v="0"/>
    <x v="2"/>
  </r>
  <r>
    <x v="180"/>
    <x v="3"/>
    <s v="2024-06-17"/>
    <x v="4"/>
    <x v="11"/>
    <n v="1226"/>
    <n v="119"/>
    <n v="7"/>
    <n v="14712"/>
    <n v="9.1897770527460579E-2"/>
    <n v="14049"/>
    <n v="123"/>
    <x v="3"/>
    <x v="2"/>
    <x v="0"/>
  </r>
  <r>
    <x v="181"/>
    <x v="0"/>
    <s v="2024-07-10"/>
    <x v="3"/>
    <x v="12"/>
    <n v="3099"/>
    <n v="694"/>
    <n v="171"/>
    <n v="43386"/>
    <n v="9.1365878393951966E-2"/>
    <n v="42921"/>
    <n v="52"/>
    <x v="2"/>
    <x v="3"/>
    <x v="0"/>
  </r>
  <r>
    <x v="182"/>
    <x v="1"/>
    <s v="2024-08-24"/>
    <x v="2"/>
    <x v="20"/>
    <n v="1082"/>
    <n v="209"/>
    <n v="484"/>
    <n v="19476"/>
    <n v="9.1137810638734856E-2"/>
    <n v="18654"/>
    <n v="20"/>
    <x v="5"/>
    <x v="1"/>
    <x v="4"/>
  </r>
  <r>
    <x v="183"/>
    <x v="1"/>
    <s v="2024-12-23"/>
    <x v="1"/>
    <x v="10"/>
    <n v="1461"/>
    <n v="184"/>
    <n v="344"/>
    <n v="21915"/>
    <n v="9.0759753593429152E-2"/>
    <n v="21675"/>
    <n v="15"/>
    <x v="3"/>
    <x v="0"/>
    <x v="4"/>
  </r>
  <r>
    <x v="184"/>
    <x v="1"/>
    <s v="2025-01-15"/>
    <x v="1"/>
    <x v="10"/>
    <n v="802"/>
    <n v="262"/>
    <n v="244"/>
    <n v="14436"/>
    <n v="9.0606816292601824E-2"/>
    <n v="14280"/>
    <n v="49"/>
    <x v="3"/>
    <x v="4"/>
    <x v="2"/>
  </r>
  <r>
    <x v="185"/>
    <x v="2"/>
    <s v="2024-12-03"/>
    <x v="5"/>
    <x v="17"/>
    <n v="3711"/>
    <n v="352"/>
    <n v="290"/>
    <n v="48243"/>
    <n v="9.023070704558174E-2"/>
    <n v="47579"/>
    <n v="11"/>
    <x v="3"/>
    <x v="2"/>
    <x v="0"/>
  </r>
  <r>
    <x v="186"/>
    <x v="2"/>
    <s v="2025-04-05"/>
    <x v="1"/>
    <x v="19"/>
    <n v="3009"/>
    <n v="413"/>
    <n v="358"/>
    <n v="42126"/>
    <n v="8.9730807577268201E-2"/>
    <n v="41309"/>
    <n v="211"/>
    <x v="3"/>
    <x v="2"/>
    <x v="4"/>
  </r>
  <r>
    <x v="187"/>
    <x v="2"/>
    <s v="2024-09-29"/>
    <x v="1"/>
    <x v="19"/>
    <n v="2936"/>
    <n v="439"/>
    <n v="44"/>
    <n v="38168"/>
    <n v="8.9577656675749323E-2"/>
    <n v="37571"/>
    <n v="22"/>
    <x v="5"/>
    <x v="1"/>
    <x v="0"/>
  </r>
  <r>
    <x v="188"/>
    <x v="0"/>
    <s v="2024-10-09"/>
    <x v="3"/>
    <x v="12"/>
    <n v="3068"/>
    <n v="137"/>
    <n v="329"/>
    <n v="39884"/>
    <n v="8.860696018453515E-2"/>
    <n v="39404"/>
    <n v="266"/>
    <x v="2"/>
    <x v="0"/>
    <x v="4"/>
  </r>
  <r>
    <x v="189"/>
    <x v="2"/>
    <s v="2025-03-03"/>
    <x v="1"/>
    <x v="19"/>
    <n v="296"/>
    <n v="60"/>
    <n v="141"/>
    <n v="5624"/>
    <n v="8.837126600284495E-2"/>
    <n v="5239"/>
    <n v="88"/>
    <x v="5"/>
    <x v="4"/>
    <x v="0"/>
  </r>
  <r>
    <x v="190"/>
    <x v="3"/>
    <s v="2024-08-30"/>
    <x v="5"/>
    <x v="16"/>
    <n v="3784"/>
    <n v="808"/>
    <n v="404"/>
    <n v="56760"/>
    <n v="8.8019732205778717E-2"/>
    <n v="56343"/>
    <n v="131"/>
    <x v="5"/>
    <x v="2"/>
    <x v="2"/>
  </r>
  <r>
    <x v="191"/>
    <x v="0"/>
    <s v="2025-02-12"/>
    <x v="0"/>
    <x v="0"/>
    <n v="4332"/>
    <n v="771"/>
    <n v="219"/>
    <n v="60648"/>
    <n v="8.7752275425405618E-2"/>
    <n v="60397"/>
    <n v="10"/>
    <x v="3"/>
    <x v="4"/>
    <x v="2"/>
  </r>
  <r>
    <x v="192"/>
    <x v="1"/>
    <s v="2024-07-18"/>
    <x v="4"/>
    <x v="5"/>
    <n v="827"/>
    <n v="77"/>
    <n v="402"/>
    <n v="14886"/>
    <n v="8.7733440816874911E-2"/>
    <n v="14129"/>
    <n v="254"/>
    <x v="3"/>
    <x v="2"/>
    <x v="2"/>
  </r>
  <r>
    <x v="193"/>
    <x v="0"/>
    <s v="2024-08-13"/>
    <x v="4"/>
    <x v="9"/>
    <n v="4739"/>
    <n v="527"/>
    <n v="135"/>
    <n v="61607"/>
    <n v="8.7668609086629767E-2"/>
    <n v="61333"/>
    <n v="36"/>
    <x v="3"/>
    <x v="0"/>
    <x v="2"/>
  </r>
  <r>
    <x v="194"/>
    <x v="1"/>
    <s v="2024-08-03"/>
    <x v="1"/>
    <x v="10"/>
    <n v="3791"/>
    <n v="593"/>
    <n v="228"/>
    <n v="53074"/>
    <n v="8.6897539284772202E-2"/>
    <n v="52613"/>
    <n v="205"/>
    <x v="9"/>
    <x v="3"/>
    <x v="2"/>
  </r>
  <r>
    <x v="195"/>
    <x v="3"/>
    <s v="2024-12-09"/>
    <x v="4"/>
    <x v="11"/>
    <n v="1841"/>
    <n v="851"/>
    <n v="342"/>
    <n v="34979"/>
    <n v="8.6737756939878216E-2"/>
    <n v="34154"/>
    <n v="255"/>
    <x v="3"/>
    <x v="2"/>
    <x v="4"/>
  </r>
  <r>
    <x v="196"/>
    <x v="3"/>
    <s v="2025-04-01"/>
    <x v="0"/>
    <x v="14"/>
    <n v="3430"/>
    <n v="566"/>
    <n v="164"/>
    <n v="48020"/>
    <n v="8.6630570595585168E-2"/>
    <n v="47305"/>
    <n v="120"/>
    <x v="3"/>
    <x v="0"/>
    <x v="2"/>
  </r>
  <r>
    <x v="197"/>
    <x v="2"/>
    <s v="2024-06-24"/>
    <x v="2"/>
    <x v="15"/>
    <n v="2949"/>
    <n v="476"/>
    <n v="403"/>
    <n v="44235"/>
    <n v="8.6537809426924378E-2"/>
    <n v="43705"/>
    <n v="135"/>
    <x v="2"/>
    <x v="2"/>
    <x v="0"/>
  </r>
  <r>
    <x v="198"/>
    <x v="1"/>
    <s v="2024-08-26"/>
    <x v="3"/>
    <x v="4"/>
    <n v="929"/>
    <n v="192"/>
    <n v="322"/>
    <n v="16722"/>
    <n v="8.6293505561535699E-2"/>
    <n v="15996"/>
    <n v="145"/>
    <x v="2"/>
    <x v="1"/>
    <x v="4"/>
  </r>
  <r>
    <x v="199"/>
    <x v="0"/>
    <s v="2025-05-01"/>
    <x v="5"/>
    <x v="13"/>
    <n v="1430"/>
    <n v="376"/>
    <n v="33"/>
    <n v="21450"/>
    <n v="8.5734265734265735E-2"/>
    <n v="20509"/>
    <n v="251"/>
    <x v="2"/>
    <x v="1"/>
    <x v="4"/>
  </r>
  <r>
    <x v="200"/>
    <x v="0"/>
    <s v="2025-02-04"/>
    <x v="4"/>
    <x v="9"/>
    <n v="4619"/>
    <n v="821"/>
    <n v="499"/>
    <n v="69285"/>
    <n v="8.5718409468138843E-2"/>
    <n v="69141"/>
    <n v="298"/>
    <x v="3"/>
    <x v="0"/>
    <x v="4"/>
  </r>
  <r>
    <x v="201"/>
    <x v="0"/>
    <s v="2024-07-24"/>
    <x v="4"/>
    <x v="9"/>
    <n v="725"/>
    <n v="88"/>
    <n v="428"/>
    <n v="14500"/>
    <n v="8.558620689655172E-2"/>
    <n v="13637"/>
    <n v="200"/>
    <x v="3"/>
    <x v="2"/>
    <x v="4"/>
  </r>
  <r>
    <x v="202"/>
    <x v="2"/>
    <s v="2024-11-30"/>
    <x v="3"/>
    <x v="6"/>
    <n v="2509"/>
    <n v="324"/>
    <n v="171"/>
    <n v="35126"/>
    <n v="8.5520696919660646E-2"/>
    <n v="34685"/>
    <n v="277"/>
    <x v="5"/>
    <x v="0"/>
    <x v="0"/>
  </r>
  <r>
    <x v="203"/>
    <x v="2"/>
    <s v="2024-06-06"/>
    <x v="1"/>
    <x v="19"/>
    <n v="2728"/>
    <n v="533"/>
    <n v="215"/>
    <n v="40920"/>
    <n v="8.4946236559139784E-2"/>
    <n v="40816"/>
    <n v="137"/>
    <x v="5"/>
    <x v="2"/>
    <x v="2"/>
  </r>
  <r>
    <x v="204"/>
    <x v="3"/>
    <s v="2024-08-24"/>
    <x v="3"/>
    <x v="21"/>
    <n v="4292"/>
    <n v="51"/>
    <n v="392"/>
    <n v="55796"/>
    <n v="8.4862714173059003E-2"/>
    <n v="54826"/>
    <n v="264"/>
    <x v="12"/>
    <x v="3"/>
    <x v="0"/>
  </r>
  <r>
    <x v="205"/>
    <x v="2"/>
    <s v="2024-10-02"/>
    <x v="0"/>
    <x v="23"/>
    <n v="4350"/>
    <n v="771"/>
    <n v="7"/>
    <n v="60900"/>
    <n v="8.4203612479474554E-2"/>
    <n v="60592"/>
    <n v="195"/>
    <x v="3"/>
    <x v="0"/>
    <x v="0"/>
  </r>
  <r>
    <x v="206"/>
    <x v="0"/>
    <s v="2025-04-13"/>
    <x v="1"/>
    <x v="1"/>
    <n v="4579"/>
    <n v="125"/>
    <n v="300"/>
    <n v="59527"/>
    <n v="8.4062694239588759E-2"/>
    <n v="59400"/>
    <n v="269"/>
    <x v="12"/>
    <x v="2"/>
    <x v="4"/>
  </r>
  <r>
    <x v="207"/>
    <x v="0"/>
    <s v="2024-12-20"/>
    <x v="3"/>
    <x v="12"/>
    <n v="2107"/>
    <n v="550"/>
    <n v="349"/>
    <n v="35819"/>
    <n v="8.3921940869371006E-2"/>
    <n v="35340"/>
    <n v="191"/>
    <x v="2"/>
    <x v="1"/>
    <x v="4"/>
  </r>
  <r>
    <x v="208"/>
    <x v="1"/>
    <s v="2024-12-22"/>
    <x v="1"/>
    <x v="10"/>
    <n v="1644"/>
    <n v="546"/>
    <n v="150"/>
    <n v="27948"/>
    <n v="8.3726921425504502E-2"/>
    <n v="27184"/>
    <n v="300"/>
    <x v="0"/>
    <x v="3"/>
    <x v="4"/>
  </r>
  <r>
    <x v="209"/>
    <x v="1"/>
    <s v="2024-08-31"/>
    <x v="3"/>
    <x v="4"/>
    <n v="4494"/>
    <n v="717"/>
    <n v="45"/>
    <n v="62916"/>
    <n v="8.3539958039290485E-2"/>
    <n v="62688"/>
    <n v="191"/>
    <x v="5"/>
    <x v="0"/>
    <x v="0"/>
  </r>
  <r>
    <x v="210"/>
    <x v="2"/>
    <s v="2024-10-21"/>
    <x v="2"/>
    <x v="15"/>
    <n v="4275"/>
    <n v="680"/>
    <n v="385"/>
    <n v="64125"/>
    <n v="8.3274853801169585E-2"/>
    <n v="63650"/>
    <n v="104"/>
    <x v="5"/>
    <x v="3"/>
    <x v="2"/>
  </r>
  <r>
    <x v="211"/>
    <x v="0"/>
    <s v="2024-10-27"/>
    <x v="4"/>
    <x v="9"/>
    <n v="4853"/>
    <n v="837"/>
    <n v="340"/>
    <n v="72795"/>
    <n v="8.2835359571399134E-2"/>
    <n v="72237"/>
    <n v="170"/>
    <x v="2"/>
    <x v="1"/>
    <x v="1"/>
  </r>
  <r>
    <x v="212"/>
    <x v="1"/>
    <s v="2025-03-19"/>
    <x v="2"/>
    <x v="20"/>
    <n v="3160"/>
    <n v="204"/>
    <n v="297"/>
    <n v="44240"/>
    <n v="8.2753164556962022E-2"/>
    <n v="43666"/>
    <n v="49"/>
    <x v="3"/>
    <x v="3"/>
    <x v="4"/>
  </r>
  <r>
    <x v="213"/>
    <x v="3"/>
    <s v="2025-05-01"/>
    <x v="3"/>
    <x v="21"/>
    <n v="2696"/>
    <n v="628"/>
    <n v="443"/>
    <n v="45832"/>
    <n v="8.21914819340199E-2"/>
    <n v="45632"/>
    <n v="248"/>
    <x v="5"/>
    <x v="1"/>
    <x v="4"/>
  </r>
  <r>
    <x v="214"/>
    <x v="3"/>
    <s v="2024-06-02"/>
    <x v="4"/>
    <x v="11"/>
    <n v="1871"/>
    <n v="252"/>
    <n v="335"/>
    <n v="29936"/>
    <n v="8.2108498129342594E-2"/>
    <n v="29576"/>
    <n v="288"/>
    <x v="3"/>
    <x v="1"/>
    <x v="2"/>
  </r>
  <r>
    <x v="215"/>
    <x v="1"/>
    <s v="2024-06-17"/>
    <x v="4"/>
    <x v="5"/>
    <n v="954"/>
    <n v="324"/>
    <n v="288"/>
    <n v="19080"/>
    <n v="8.2075471698113203E-2"/>
    <n v="18859"/>
    <n v="21"/>
    <x v="3"/>
    <x v="1"/>
    <x v="2"/>
  </r>
  <r>
    <x v="216"/>
    <x v="3"/>
    <s v="2024-08-17"/>
    <x v="4"/>
    <x v="11"/>
    <n v="2878"/>
    <n v="248"/>
    <n v="416"/>
    <n v="43170"/>
    <n v="8.2047718322909427E-2"/>
    <n v="42667"/>
    <n v="75"/>
    <x v="2"/>
    <x v="4"/>
    <x v="2"/>
  </r>
  <r>
    <x v="217"/>
    <x v="0"/>
    <s v="2024-07-01"/>
    <x v="0"/>
    <x v="0"/>
    <n v="4808"/>
    <n v="772"/>
    <n v="320"/>
    <n v="72120"/>
    <n v="8.1808097615085965E-2"/>
    <n v="71696"/>
    <n v="195"/>
    <x v="2"/>
    <x v="3"/>
    <x v="4"/>
  </r>
  <r>
    <x v="218"/>
    <x v="1"/>
    <s v="2024-11-07"/>
    <x v="0"/>
    <x v="2"/>
    <n v="1121"/>
    <n v="135"/>
    <n v="18"/>
    <n v="15694"/>
    <n v="8.1177520071364848E-2"/>
    <n v="14957"/>
    <n v="99"/>
    <x v="2"/>
    <x v="3"/>
    <x v="4"/>
  </r>
  <r>
    <x v="219"/>
    <x v="1"/>
    <s v="2024-10-21"/>
    <x v="2"/>
    <x v="20"/>
    <n v="2825"/>
    <n v="535"/>
    <n v="295"/>
    <n v="45200"/>
    <n v="8.0862831858407078E-2"/>
    <n v="44739"/>
    <n v="169"/>
    <x v="3"/>
    <x v="4"/>
    <x v="0"/>
  </r>
  <r>
    <x v="220"/>
    <x v="0"/>
    <s v="2024-10-02"/>
    <x v="5"/>
    <x v="13"/>
    <n v="3432"/>
    <n v="869"/>
    <n v="123"/>
    <n v="54912"/>
    <n v="8.0565268065268064E-2"/>
    <n v="53916"/>
    <n v="264"/>
    <x v="2"/>
    <x v="4"/>
    <x v="0"/>
  </r>
  <r>
    <x v="221"/>
    <x v="3"/>
    <s v="2025-02-27"/>
    <x v="5"/>
    <x v="16"/>
    <n v="1570"/>
    <n v="187"/>
    <n v="260"/>
    <n v="25120"/>
    <n v="8.0294585987261149E-2"/>
    <n v="24613"/>
    <n v="133"/>
    <x v="13"/>
    <x v="0"/>
    <x v="2"/>
  </r>
  <r>
    <x v="222"/>
    <x v="3"/>
    <s v="2024-11-04"/>
    <x v="4"/>
    <x v="11"/>
    <n v="4551"/>
    <n v="714"/>
    <n v="207"/>
    <n v="68265"/>
    <n v="8.0158206987475278E-2"/>
    <n v="67754"/>
    <n v="57"/>
    <x v="2"/>
    <x v="4"/>
    <x v="5"/>
  </r>
  <r>
    <x v="223"/>
    <x v="3"/>
    <s v="2025-04-06"/>
    <x v="4"/>
    <x v="11"/>
    <n v="3090"/>
    <n v="697"/>
    <n v="164"/>
    <n v="49440"/>
    <n v="7.9915048543689318E-2"/>
    <n v="48524"/>
    <n v="25"/>
    <x v="2"/>
    <x v="2"/>
    <x v="4"/>
  </r>
  <r>
    <x v="224"/>
    <x v="3"/>
    <s v="2025-03-24"/>
    <x v="4"/>
    <x v="11"/>
    <n v="1263"/>
    <n v="397"/>
    <n v="357"/>
    <n v="25260"/>
    <n v="7.984956452889945E-2"/>
    <n v="24615"/>
    <n v="137"/>
    <x v="3"/>
    <x v="4"/>
    <x v="2"/>
  </r>
  <r>
    <x v="225"/>
    <x v="1"/>
    <s v="2025-01-01"/>
    <x v="3"/>
    <x v="4"/>
    <n v="3535"/>
    <n v="494"/>
    <n v="152"/>
    <n v="53025"/>
    <n v="7.8849599245638849E-2"/>
    <n v="52791"/>
    <n v="44"/>
    <x v="2"/>
    <x v="4"/>
    <x v="5"/>
  </r>
  <r>
    <x v="226"/>
    <x v="3"/>
    <s v="2024-06-13"/>
    <x v="3"/>
    <x v="21"/>
    <n v="2200"/>
    <n v="504"/>
    <n v="239"/>
    <n v="37400"/>
    <n v="7.8689839572192513E-2"/>
    <n v="36938"/>
    <n v="225"/>
    <x v="5"/>
    <x v="2"/>
    <x v="2"/>
  </r>
  <r>
    <x v="227"/>
    <x v="0"/>
    <s v="2024-06-13"/>
    <x v="0"/>
    <x v="0"/>
    <n v="2103"/>
    <n v="892"/>
    <n v="103"/>
    <n v="39957"/>
    <n v="7.7533348349475686E-2"/>
    <n v="39466"/>
    <n v="28"/>
    <x v="3"/>
    <x v="0"/>
    <x v="0"/>
  </r>
  <r>
    <x v="228"/>
    <x v="3"/>
    <s v="2024-07-15"/>
    <x v="1"/>
    <x v="22"/>
    <n v="3663"/>
    <n v="17"/>
    <n v="295"/>
    <n v="51282"/>
    <n v="7.7512577512577507E-2"/>
    <n v="50567"/>
    <n v="84"/>
    <x v="2"/>
    <x v="4"/>
    <x v="1"/>
  </r>
  <r>
    <x v="229"/>
    <x v="1"/>
    <s v="2024-06-16"/>
    <x v="2"/>
    <x v="20"/>
    <n v="1702"/>
    <n v="750"/>
    <n v="179"/>
    <n v="34040"/>
    <n v="7.7291421856639245E-2"/>
    <n v="33174"/>
    <n v="76"/>
    <x v="3"/>
    <x v="2"/>
    <x v="0"/>
  </r>
  <r>
    <x v="230"/>
    <x v="0"/>
    <s v="2025-01-04"/>
    <x v="1"/>
    <x v="1"/>
    <n v="4838"/>
    <n v="640"/>
    <n v="128"/>
    <n v="72570"/>
    <n v="7.7249552156538517E-2"/>
    <n v="72396"/>
    <n v="83"/>
    <x v="5"/>
    <x v="0"/>
    <x v="0"/>
  </r>
  <r>
    <x v="231"/>
    <x v="3"/>
    <s v="2024-11-06"/>
    <x v="2"/>
    <x v="8"/>
    <n v="1606"/>
    <n v="547"/>
    <n v="316"/>
    <n v="32120"/>
    <n v="7.6867995018679955E-2"/>
    <n v="31736"/>
    <n v="225"/>
    <x v="3"/>
    <x v="3"/>
    <x v="2"/>
  </r>
  <r>
    <x v="232"/>
    <x v="0"/>
    <s v="2025-04-19"/>
    <x v="0"/>
    <x v="0"/>
    <n v="4518"/>
    <n v="285"/>
    <n v="383"/>
    <n v="67770"/>
    <n v="7.6523535487678915E-2"/>
    <n v="67621"/>
    <n v="31"/>
    <x v="5"/>
    <x v="3"/>
    <x v="4"/>
  </r>
  <r>
    <x v="233"/>
    <x v="1"/>
    <s v="2025-04-03"/>
    <x v="5"/>
    <x v="18"/>
    <n v="4054"/>
    <n v="389"/>
    <n v="493"/>
    <n v="64864"/>
    <n v="7.6097681302417369E-2"/>
    <n v="64383"/>
    <n v="117"/>
    <x v="2"/>
    <x v="4"/>
    <x v="0"/>
  </r>
  <r>
    <x v="234"/>
    <x v="3"/>
    <s v="2024-06-01"/>
    <x v="5"/>
    <x v="16"/>
    <n v="1272"/>
    <n v="465"/>
    <n v="99"/>
    <n v="24168"/>
    <n v="7.5968222442899705E-2"/>
    <n v="23719"/>
    <n v="42"/>
    <x v="2"/>
    <x v="2"/>
    <x v="4"/>
  </r>
  <r>
    <x v="235"/>
    <x v="2"/>
    <s v="2024-11-18"/>
    <x v="3"/>
    <x v="6"/>
    <n v="1171"/>
    <n v="286"/>
    <n v="231"/>
    <n v="22249"/>
    <n v="7.5868578363072495E-2"/>
    <n v="21282"/>
    <n v="114"/>
    <x v="14"/>
    <x v="1"/>
    <x v="4"/>
  </r>
  <r>
    <x v="236"/>
    <x v="3"/>
    <s v="2024-08-26"/>
    <x v="5"/>
    <x v="16"/>
    <n v="3452"/>
    <n v="377"/>
    <n v="360"/>
    <n v="55232"/>
    <n v="7.5843713789107758E-2"/>
    <n v="55075"/>
    <n v="87"/>
    <x v="5"/>
    <x v="0"/>
    <x v="2"/>
  </r>
  <r>
    <x v="237"/>
    <x v="3"/>
    <s v="2024-07-15"/>
    <x v="3"/>
    <x v="21"/>
    <n v="3796"/>
    <n v="667"/>
    <n v="395"/>
    <n v="64532"/>
    <n v="7.5280481001673588E-2"/>
    <n v="63550"/>
    <n v="292"/>
    <x v="5"/>
    <x v="3"/>
    <x v="2"/>
  </r>
  <r>
    <x v="238"/>
    <x v="3"/>
    <s v="2024-11-01"/>
    <x v="2"/>
    <x v="8"/>
    <n v="3371"/>
    <n v="106"/>
    <n v="327"/>
    <n v="50565"/>
    <n v="7.5229902106199939E-2"/>
    <n v="49816"/>
    <n v="176"/>
    <x v="5"/>
    <x v="4"/>
    <x v="2"/>
  </r>
  <r>
    <x v="239"/>
    <x v="3"/>
    <s v="2024-11-12"/>
    <x v="5"/>
    <x v="16"/>
    <n v="2418"/>
    <n v="754"/>
    <n v="54"/>
    <n v="43524"/>
    <n v="7.412002573292896E-2"/>
    <n v="42743"/>
    <n v="182"/>
    <x v="8"/>
    <x v="2"/>
    <x v="4"/>
  </r>
  <r>
    <x v="240"/>
    <x v="2"/>
    <s v="2024-11-23"/>
    <x v="4"/>
    <x v="7"/>
    <n v="2719"/>
    <n v="17"/>
    <n v="285"/>
    <n v="40785"/>
    <n v="7.4071349760941527E-2"/>
    <n v="40281"/>
    <n v="40"/>
    <x v="2"/>
    <x v="3"/>
    <x v="2"/>
  </r>
  <r>
    <x v="241"/>
    <x v="2"/>
    <s v="2024-10-18"/>
    <x v="2"/>
    <x v="15"/>
    <n v="4450"/>
    <n v="983"/>
    <n v="143"/>
    <n v="75650"/>
    <n v="7.3707865168539333E-2"/>
    <n v="75008"/>
    <n v="12"/>
    <x v="3"/>
    <x v="2"/>
    <x v="0"/>
  </r>
  <r>
    <x v="242"/>
    <x v="1"/>
    <s v="2025-03-11"/>
    <x v="0"/>
    <x v="2"/>
    <n v="1950"/>
    <n v="295"/>
    <n v="478"/>
    <n v="37050"/>
    <n v="7.349527665317139E-2"/>
    <n v="36272"/>
    <n v="119"/>
    <x v="5"/>
    <x v="3"/>
    <x v="5"/>
  </r>
  <r>
    <x v="243"/>
    <x v="3"/>
    <s v="2024-06-22"/>
    <x v="1"/>
    <x v="22"/>
    <n v="3813"/>
    <n v="935"/>
    <n v="274"/>
    <n v="68634"/>
    <n v="7.3170731707317069E-2"/>
    <n v="68488"/>
    <n v="251"/>
    <x v="5"/>
    <x v="2"/>
    <x v="2"/>
  </r>
  <r>
    <x v="244"/>
    <x v="3"/>
    <s v="2024-11-28"/>
    <x v="3"/>
    <x v="21"/>
    <n v="2751"/>
    <n v="33"/>
    <n v="430"/>
    <n v="44016"/>
    <n v="7.3018902217375503E-2"/>
    <n v="43415"/>
    <n v="129"/>
    <x v="3"/>
    <x v="0"/>
    <x v="2"/>
  </r>
  <r>
    <x v="245"/>
    <x v="3"/>
    <s v="2025-03-08"/>
    <x v="4"/>
    <x v="11"/>
    <n v="2382"/>
    <n v="265"/>
    <n v="134"/>
    <n v="38112"/>
    <n v="7.2969143576826198E-2"/>
    <n v="37437"/>
    <n v="249"/>
    <x v="5"/>
    <x v="1"/>
    <x v="4"/>
  </r>
  <r>
    <x v="246"/>
    <x v="3"/>
    <s v="2024-08-14"/>
    <x v="3"/>
    <x v="21"/>
    <n v="3073"/>
    <n v="553"/>
    <n v="174"/>
    <n v="52241"/>
    <n v="7.2739802071170159E-2"/>
    <n v="51605"/>
    <n v="246"/>
    <x v="15"/>
    <x v="4"/>
    <x v="2"/>
  </r>
  <r>
    <x v="247"/>
    <x v="1"/>
    <s v="2024-07-16"/>
    <x v="5"/>
    <x v="18"/>
    <n v="4725"/>
    <n v="400"/>
    <n v="362"/>
    <n v="75600"/>
    <n v="7.2579365079365077E-2"/>
    <n v="74927"/>
    <n v="43"/>
    <x v="3"/>
    <x v="4"/>
    <x v="0"/>
  </r>
  <r>
    <x v="248"/>
    <x v="3"/>
    <s v="2025-03-24"/>
    <x v="1"/>
    <x v="22"/>
    <n v="3360"/>
    <n v="525"/>
    <n v="500"/>
    <n v="60480"/>
    <n v="7.2503306878306875E-2"/>
    <n v="59610"/>
    <n v="192"/>
    <x v="3"/>
    <x v="1"/>
    <x v="4"/>
  </r>
  <r>
    <x v="249"/>
    <x v="3"/>
    <s v="2024-11-25"/>
    <x v="4"/>
    <x v="11"/>
    <n v="3564"/>
    <n v="629"/>
    <n v="177"/>
    <n v="60588"/>
    <n v="7.2126493695121141E-2"/>
    <n v="59627"/>
    <n v="92"/>
    <x v="5"/>
    <x v="4"/>
    <x v="2"/>
  </r>
  <r>
    <x v="250"/>
    <x v="3"/>
    <s v="2025-05-06"/>
    <x v="4"/>
    <x v="11"/>
    <n v="4872"/>
    <n v="925"/>
    <n v="176"/>
    <n v="82824"/>
    <n v="7.2116777745580993E-2"/>
    <n v="82543"/>
    <n v="89"/>
    <x v="5"/>
    <x v="4"/>
    <x v="4"/>
  </r>
  <r>
    <x v="251"/>
    <x v="3"/>
    <s v="2025-01-23"/>
    <x v="2"/>
    <x v="8"/>
    <n v="3961"/>
    <n v="761"/>
    <n v="131"/>
    <n v="67337"/>
    <n v="7.2070332803659209E-2"/>
    <n v="66615"/>
    <n v="161"/>
    <x v="5"/>
    <x v="2"/>
    <x v="0"/>
  </r>
  <r>
    <x v="252"/>
    <x v="2"/>
    <s v="2024-07-02"/>
    <x v="3"/>
    <x v="6"/>
    <n v="4171"/>
    <n v="548"/>
    <n v="86"/>
    <n v="66736"/>
    <n v="7.2000119875329657E-2"/>
    <n v="66634"/>
    <n v="173"/>
    <x v="3"/>
    <x v="4"/>
    <x v="4"/>
  </r>
  <r>
    <x v="253"/>
    <x v="3"/>
    <s v="2025-03-11"/>
    <x v="4"/>
    <x v="11"/>
    <n v="4241"/>
    <n v="902"/>
    <n v="47"/>
    <n v="72097"/>
    <n v="7.198635172059864E-2"/>
    <n v="71598"/>
    <n v="167"/>
    <x v="5"/>
    <x v="1"/>
    <x v="0"/>
  </r>
  <r>
    <x v="254"/>
    <x v="3"/>
    <s v="2024-11-06"/>
    <x v="2"/>
    <x v="8"/>
    <n v="4663"/>
    <n v="145"/>
    <n v="225"/>
    <n v="69945"/>
    <n v="7.1956537279290869E-2"/>
    <n v="69596"/>
    <n v="35"/>
    <x v="5"/>
    <x v="3"/>
    <x v="2"/>
  </r>
  <r>
    <x v="255"/>
    <x v="3"/>
    <s v="2025-02-06"/>
    <x v="4"/>
    <x v="11"/>
    <n v="2072"/>
    <n v="532"/>
    <n v="71"/>
    <n v="37296"/>
    <n v="7.172350922350923E-2"/>
    <n v="36467"/>
    <n v="25"/>
    <x v="3"/>
    <x v="1"/>
    <x v="2"/>
  </r>
  <r>
    <x v="256"/>
    <x v="2"/>
    <s v="2024-09-17"/>
    <x v="5"/>
    <x v="17"/>
    <n v="2076"/>
    <n v="195"/>
    <n v="104"/>
    <n v="33216"/>
    <n v="7.1501685934489398E-2"/>
    <n v="32244"/>
    <n v="51"/>
    <x v="16"/>
    <x v="1"/>
    <x v="0"/>
  </r>
  <r>
    <x v="257"/>
    <x v="1"/>
    <s v="2025-04-24"/>
    <x v="1"/>
    <x v="10"/>
    <n v="3731"/>
    <n v="115"/>
    <n v="135"/>
    <n v="55965"/>
    <n v="7.1133744304476013E-2"/>
    <n v="55436"/>
    <n v="103"/>
    <x v="3"/>
    <x v="1"/>
    <x v="1"/>
  </r>
  <r>
    <x v="258"/>
    <x v="0"/>
    <s v="2024-06-03"/>
    <x v="4"/>
    <x v="9"/>
    <n v="3861"/>
    <n v="960"/>
    <n v="101"/>
    <n v="69498"/>
    <n v="7.0822181933293038E-2"/>
    <n v="68817"/>
    <n v="297"/>
    <x v="2"/>
    <x v="0"/>
    <x v="4"/>
  </r>
  <r>
    <x v="259"/>
    <x v="3"/>
    <s v="2025-03-26"/>
    <x v="5"/>
    <x v="16"/>
    <n v="1652"/>
    <n v="89"/>
    <n v="357"/>
    <n v="29736"/>
    <n v="7.055421038471886E-2"/>
    <n v="28771"/>
    <n v="215"/>
    <x v="17"/>
    <x v="2"/>
    <x v="0"/>
  </r>
  <r>
    <x v="260"/>
    <x v="1"/>
    <s v="2024-06-24"/>
    <x v="3"/>
    <x v="4"/>
    <n v="3860"/>
    <n v="201"/>
    <n v="279"/>
    <n v="61760"/>
    <n v="7.0272020725388601E-2"/>
    <n v="61660"/>
    <n v="235"/>
    <x v="3"/>
    <x v="0"/>
    <x v="0"/>
  </r>
  <r>
    <x v="261"/>
    <x v="2"/>
    <s v="2025-03-25"/>
    <x v="0"/>
    <x v="23"/>
    <n v="2070"/>
    <n v="275"/>
    <n v="386"/>
    <n v="39330"/>
    <n v="6.9438087973557078E-2"/>
    <n v="38627"/>
    <n v="114"/>
    <x v="2"/>
    <x v="4"/>
    <x v="0"/>
  </r>
  <r>
    <x v="262"/>
    <x v="3"/>
    <s v="2025-01-27"/>
    <x v="1"/>
    <x v="22"/>
    <n v="3452"/>
    <n v="652"/>
    <n v="442"/>
    <n v="65588"/>
    <n v="6.9311459413307311E-2"/>
    <n v="65049"/>
    <n v="158"/>
    <x v="5"/>
    <x v="1"/>
    <x v="4"/>
  </r>
  <r>
    <x v="263"/>
    <x v="1"/>
    <s v="2025-04-28"/>
    <x v="5"/>
    <x v="18"/>
    <n v="3577"/>
    <n v="596"/>
    <n v="493"/>
    <n v="67963"/>
    <n v="6.8655003457763777E-2"/>
    <n v="67839"/>
    <n v="53"/>
    <x v="2"/>
    <x v="1"/>
    <x v="2"/>
  </r>
  <r>
    <x v="264"/>
    <x v="0"/>
    <s v="2024-11-08"/>
    <x v="5"/>
    <x v="13"/>
    <n v="3182"/>
    <n v="559"/>
    <n v="160"/>
    <n v="57276"/>
    <n v="6.8108806480899509E-2"/>
    <n v="56890"/>
    <n v="163"/>
    <x v="3"/>
    <x v="3"/>
    <x v="1"/>
  </r>
  <r>
    <x v="265"/>
    <x v="2"/>
    <s v="2025-04-17"/>
    <x v="3"/>
    <x v="6"/>
    <n v="4780"/>
    <n v="691"/>
    <n v="380"/>
    <n v="86040"/>
    <n v="6.800325430032543E-2"/>
    <n v="85743"/>
    <n v="262"/>
    <x v="2"/>
    <x v="2"/>
    <x v="2"/>
  </r>
  <r>
    <x v="266"/>
    <x v="0"/>
    <s v="2024-10-22"/>
    <x v="0"/>
    <x v="0"/>
    <n v="3770"/>
    <n v="917"/>
    <n v="129"/>
    <n v="71630"/>
    <n v="6.7234398994834563E-2"/>
    <n v="71322"/>
    <n v="76"/>
    <x v="5"/>
    <x v="4"/>
    <x v="4"/>
  </r>
  <r>
    <x v="267"/>
    <x v="2"/>
    <s v="2025-01-15"/>
    <x v="1"/>
    <x v="19"/>
    <n v="3774"/>
    <n v="239"/>
    <n v="39"/>
    <n v="60384"/>
    <n v="6.7103868574456813E-2"/>
    <n v="59490"/>
    <n v="241"/>
    <x v="3"/>
    <x v="0"/>
    <x v="0"/>
  </r>
  <r>
    <x v="268"/>
    <x v="2"/>
    <s v="2024-06-26"/>
    <x v="1"/>
    <x v="19"/>
    <n v="3557"/>
    <n v="687"/>
    <n v="424"/>
    <n v="71140"/>
    <n v="6.5617093055946027E-2"/>
    <n v="70701"/>
    <n v="224"/>
    <x v="2"/>
    <x v="1"/>
    <x v="0"/>
  </r>
  <r>
    <x v="269"/>
    <x v="2"/>
    <s v="2025-01-27"/>
    <x v="5"/>
    <x v="17"/>
    <n v="3428"/>
    <n v="305"/>
    <n v="85"/>
    <n v="58276"/>
    <n v="6.5515821264328367E-2"/>
    <n v="58052"/>
    <n v="242"/>
    <x v="2"/>
    <x v="2"/>
    <x v="4"/>
  </r>
  <r>
    <x v="270"/>
    <x v="2"/>
    <s v="2024-10-28"/>
    <x v="0"/>
    <x v="23"/>
    <n v="4929"/>
    <n v="749"/>
    <n v="452"/>
    <n v="93651"/>
    <n v="6.5455787978772245E-2"/>
    <n v="92810"/>
    <n v="66"/>
    <x v="3"/>
    <x v="1"/>
    <x v="0"/>
  </r>
  <r>
    <x v="271"/>
    <x v="1"/>
    <s v="2024-10-22"/>
    <x v="1"/>
    <x v="10"/>
    <n v="4782"/>
    <n v="721"/>
    <n v="82"/>
    <n v="86076"/>
    <n v="6.4884520656164318E-2"/>
    <n v="85339"/>
    <n v="19"/>
    <x v="2"/>
    <x v="2"/>
    <x v="0"/>
  </r>
  <r>
    <x v="272"/>
    <x v="3"/>
    <s v="2024-11-28"/>
    <x v="5"/>
    <x v="16"/>
    <n v="4213"/>
    <n v="253"/>
    <n v="434"/>
    <n v="75834"/>
    <n v="6.461481657304112E-2"/>
    <n v="75437"/>
    <n v="272"/>
    <x v="3"/>
    <x v="3"/>
    <x v="4"/>
  </r>
  <r>
    <x v="273"/>
    <x v="3"/>
    <s v="2024-10-18"/>
    <x v="0"/>
    <x v="14"/>
    <n v="4126"/>
    <n v="426"/>
    <n v="486"/>
    <n v="78394"/>
    <n v="6.4265122330790625E-2"/>
    <n v="77798"/>
    <n v="88"/>
    <x v="2"/>
    <x v="3"/>
    <x v="3"/>
  </r>
  <r>
    <x v="274"/>
    <x v="1"/>
    <s v="2024-10-04"/>
    <x v="1"/>
    <x v="10"/>
    <n v="4187"/>
    <n v="66"/>
    <n v="31"/>
    <n v="66992"/>
    <n v="6.3947934081681396E-2"/>
    <n v="66614"/>
    <n v="62"/>
    <x v="3"/>
    <x v="2"/>
    <x v="4"/>
  </r>
  <r>
    <x v="275"/>
    <x v="0"/>
    <s v="2024-09-09"/>
    <x v="3"/>
    <x v="12"/>
    <n v="4054"/>
    <n v="488"/>
    <n v="373"/>
    <n v="77026"/>
    <n v="6.3809622724794221E-2"/>
    <n v="76881"/>
    <n v="25"/>
    <x v="2"/>
    <x v="1"/>
    <x v="4"/>
  </r>
  <r>
    <x v="276"/>
    <x v="3"/>
    <s v="2025-03-29"/>
    <x v="3"/>
    <x v="21"/>
    <n v="4712"/>
    <n v="568"/>
    <n v="127"/>
    <n v="84816"/>
    <n v="6.3749764195434822E-2"/>
    <n v="84691"/>
    <n v="100"/>
    <x v="5"/>
    <x v="0"/>
    <x v="0"/>
  </r>
  <r>
    <x v="277"/>
    <x v="2"/>
    <s v="2024-08-22"/>
    <x v="3"/>
    <x v="6"/>
    <n v="4295"/>
    <n v="853"/>
    <n v="325"/>
    <n v="85900"/>
    <n v="6.3713620488940623E-2"/>
    <n v="85788"/>
    <n v="290"/>
    <x v="3"/>
    <x v="3"/>
    <x v="0"/>
  </r>
  <r>
    <x v="278"/>
    <x v="2"/>
    <s v="2025-03-22"/>
    <x v="4"/>
    <x v="7"/>
    <n v="3166"/>
    <n v="90"/>
    <n v="341"/>
    <n v="56988"/>
    <n v="6.3118551273952411E-2"/>
    <n v="56125"/>
    <n v="135"/>
    <x v="2"/>
    <x v="1"/>
    <x v="0"/>
  </r>
  <r>
    <x v="279"/>
    <x v="3"/>
    <s v="2024-12-03"/>
    <x v="4"/>
    <x v="11"/>
    <n v="4606"/>
    <n v="931"/>
    <n v="230"/>
    <n v="92120"/>
    <n v="6.2603126356925748E-2"/>
    <n v="91440"/>
    <n v="56"/>
    <x v="8"/>
    <x v="3"/>
    <x v="4"/>
  </r>
  <r>
    <x v="280"/>
    <x v="3"/>
    <s v="2025-04-07"/>
    <x v="1"/>
    <x v="22"/>
    <n v="3718"/>
    <n v="385"/>
    <n v="310"/>
    <n v="70642"/>
    <n v="6.246991874522239E-2"/>
    <n v="69749"/>
    <n v="233"/>
    <x v="3"/>
    <x v="1"/>
    <x v="0"/>
  </r>
  <r>
    <x v="281"/>
    <x v="2"/>
    <s v="2024-06-21"/>
    <x v="4"/>
    <x v="7"/>
    <n v="4832"/>
    <n v="893"/>
    <n v="10"/>
    <n v="91808"/>
    <n v="6.2467323109097243E-2"/>
    <n v="91296"/>
    <n v="182"/>
    <x v="5"/>
    <x v="2"/>
    <x v="0"/>
  </r>
  <r>
    <x v="282"/>
    <x v="1"/>
    <s v="2025-05-11"/>
    <x v="4"/>
    <x v="5"/>
    <n v="2493"/>
    <n v="97"/>
    <n v="44"/>
    <n v="42381"/>
    <n v="6.2150491965739366E-2"/>
    <n v="41991"/>
    <n v="242"/>
    <x v="5"/>
    <x v="1"/>
    <x v="4"/>
  </r>
  <r>
    <x v="283"/>
    <x v="1"/>
    <s v="2024-11-12"/>
    <x v="4"/>
    <x v="5"/>
    <n v="3338"/>
    <n v="277"/>
    <n v="118"/>
    <n v="60084"/>
    <n v="6.2129685107516146E-2"/>
    <n v="59842"/>
    <n v="252"/>
    <x v="2"/>
    <x v="3"/>
    <x v="4"/>
  </r>
  <r>
    <x v="284"/>
    <x v="2"/>
    <s v="2024-09-02"/>
    <x v="4"/>
    <x v="7"/>
    <n v="4905"/>
    <n v="845"/>
    <n v="129"/>
    <n v="98100"/>
    <n v="5.9928644240570844E-2"/>
    <n v="97772"/>
    <n v="279"/>
    <x v="3"/>
    <x v="4"/>
    <x v="4"/>
  </r>
  <r>
    <x v="285"/>
    <x v="1"/>
    <s v="2025-04-10"/>
    <x v="3"/>
    <x v="4"/>
    <n v="3128"/>
    <n v="211"/>
    <n v="197"/>
    <n v="59432"/>
    <n v="5.9496567505720827E-2"/>
    <n v="59182"/>
    <n v="238"/>
    <x v="5"/>
    <x v="2"/>
    <x v="3"/>
  </r>
  <r>
    <x v="286"/>
    <x v="3"/>
    <s v="2024-10-24"/>
    <x v="2"/>
    <x v="8"/>
    <n v="3888"/>
    <n v="604"/>
    <n v="128"/>
    <n v="77760"/>
    <n v="5.941358024691358E-2"/>
    <n v="77167"/>
    <n v="20"/>
    <x v="3"/>
    <x v="0"/>
    <x v="4"/>
  </r>
  <r>
    <x v="287"/>
    <x v="1"/>
    <s v="2025-02-11"/>
    <x v="2"/>
    <x v="20"/>
    <n v="3440"/>
    <n v="13"/>
    <n v="20"/>
    <n v="58480"/>
    <n v="5.9387824897400819E-2"/>
    <n v="58146"/>
    <n v="210"/>
    <x v="5"/>
    <x v="2"/>
    <x v="2"/>
  </r>
  <r>
    <x v="288"/>
    <x v="3"/>
    <s v="2024-10-24"/>
    <x v="4"/>
    <x v="11"/>
    <n v="4303"/>
    <n v="451"/>
    <n v="286"/>
    <n v="86060"/>
    <n v="5.8563792702765516E-2"/>
    <n v="85823"/>
    <n v="14"/>
    <x v="5"/>
    <x v="4"/>
    <x v="2"/>
  </r>
  <r>
    <x v="289"/>
    <x v="2"/>
    <s v="2024-07-29"/>
    <x v="0"/>
    <x v="23"/>
    <n v="1509"/>
    <n v="88"/>
    <n v="163"/>
    <n v="30180"/>
    <n v="5.8316766070245198E-2"/>
    <n v="29689"/>
    <n v="119"/>
    <x v="3"/>
    <x v="3"/>
    <x v="4"/>
  </r>
  <r>
    <x v="290"/>
    <x v="1"/>
    <s v="2025-05-09"/>
    <x v="1"/>
    <x v="10"/>
    <n v="3367"/>
    <n v="302"/>
    <n v="57"/>
    <n v="63973"/>
    <n v="5.8243321401216137E-2"/>
    <n v="63789"/>
    <n v="157"/>
    <x v="3"/>
    <x v="3"/>
    <x v="3"/>
  </r>
  <r>
    <x v="291"/>
    <x v="2"/>
    <s v="2024-09-18"/>
    <x v="3"/>
    <x v="6"/>
    <n v="2143"/>
    <n v="12"/>
    <n v="204"/>
    <n v="40717"/>
    <n v="5.7936488444630008E-2"/>
    <n v="40125"/>
    <n v="248"/>
    <x v="6"/>
    <x v="4"/>
    <x v="4"/>
  </r>
  <r>
    <x v="292"/>
    <x v="0"/>
    <s v="2025-02-25"/>
    <x v="2"/>
    <x v="3"/>
    <n v="3095"/>
    <n v="39"/>
    <n v="78"/>
    <n v="55710"/>
    <n v="5.7655717106444085E-2"/>
    <n v="54808"/>
    <n v="93"/>
    <x v="3"/>
    <x v="0"/>
    <x v="2"/>
  </r>
  <r>
    <x v="293"/>
    <x v="0"/>
    <s v="2024-11-21"/>
    <x v="3"/>
    <x v="12"/>
    <n v="3773"/>
    <n v="299"/>
    <n v="38"/>
    <n v="71687"/>
    <n v="5.7332570758993957E-2"/>
    <n v="71447"/>
    <n v="286"/>
    <x v="3"/>
    <x v="2"/>
    <x v="0"/>
  </r>
  <r>
    <x v="294"/>
    <x v="1"/>
    <s v="2024-06-20"/>
    <x v="3"/>
    <x v="4"/>
    <n v="4672"/>
    <n v="325"/>
    <n v="32"/>
    <n v="88768"/>
    <n v="5.6653298485940883E-2"/>
    <n v="87833"/>
    <n v="118"/>
    <x v="9"/>
    <x v="1"/>
    <x v="2"/>
  </r>
  <r>
    <x v="295"/>
    <x v="0"/>
    <s v="2024-08-12"/>
    <x v="3"/>
    <x v="12"/>
    <n v="1878"/>
    <n v="62"/>
    <n v="179"/>
    <n v="37560"/>
    <n v="5.6416400425985093E-2"/>
    <n v="36874"/>
    <n v="142"/>
    <x v="12"/>
    <x v="3"/>
    <x v="4"/>
  </r>
  <r>
    <x v="296"/>
    <x v="2"/>
    <s v="2024-10-04"/>
    <x v="5"/>
    <x v="17"/>
    <n v="1963"/>
    <n v="213"/>
    <n v="19"/>
    <n v="39260"/>
    <n v="5.5909322465613857E-2"/>
    <n v="38771"/>
    <n v="145"/>
    <x v="3"/>
    <x v="3"/>
    <x v="2"/>
  </r>
  <r>
    <x v="297"/>
    <x v="2"/>
    <s v="2025-05-12"/>
    <x v="1"/>
    <x v="19"/>
    <n v="2795"/>
    <n v="105"/>
    <n v="49"/>
    <n v="53105"/>
    <n v="5.5531494209584788E-2"/>
    <n v="52307"/>
    <n v="204"/>
    <x v="2"/>
    <x v="2"/>
    <x v="0"/>
  </r>
  <r>
    <x v="298"/>
    <x v="3"/>
    <s v="2024-06-20"/>
    <x v="2"/>
    <x v="8"/>
    <n v="3798"/>
    <n v="31"/>
    <n v="279"/>
    <n v="75960"/>
    <n v="5.4081095313322801E-2"/>
    <n v="75813"/>
    <n v="266"/>
    <x v="5"/>
    <x v="2"/>
    <x v="4"/>
  </r>
  <r>
    <x v="299"/>
    <x v="1"/>
    <s v="2024-07-31"/>
    <x v="3"/>
    <x v="4"/>
    <n v="4507"/>
    <n v="217"/>
    <n v="13"/>
    <n v="90140"/>
    <n v="5.2551586421122697E-2"/>
    <n v="89591"/>
    <n v="125"/>
    <x v="17"/>
    <x v="0"/>
    <x v="2"/>
  </r>
  <r>
    <x v="300"/>
    <x v="4"/>
    <m/>
    <x v="6"/>
    <x v="24"/>
    <m/>
    <m/>
    <m/>
    <m/>
    <m/>
    <m/>
    <m/>
    <x v="18"/>
    <x v="4"/>
    <x v="2"/>
  </r>
  <r>
    <x v="300"/>
    <x v="4"/>
    <m/>
    <x v="6"/>
    <x v="24"/>
    <m/>
    <m/>
    <m/>
    <m/>
    <m/>
    <m/>
    <m/>
    <x v="18"/>
    <x v="4"/>
    <x v="4"/>
  </r>
  <r>
    <x v="300"/>
    <x v="4"/>
    <m/>
    <x v="6"/>
    <x v="24"/>
    <m/>
    <m/>
    <m/>
    <m/>
    <m/>
    <m/>
    <m/>
    <x v="18"/>
    <x v="4"/>
    <x v="2"/>
  </r>
  <r>
    <x v="300"/>
    <x v="4"/>
    <m/>
    <x v="6"/>
    <x v="24"/>
    <m/>
    <m/>
    <m/>
    <m/>
    <m/>
    <m/>
    <m/>
    <x v="18"/>
    <x v="4"/>
    <x v="4"/>
  </r>
  <r>
    <x v="300"/>
    <x v="4"/>
    <m/>
    <x v="6"/>
    <x v="24"/>
    <m/>
    <m/>
    <m/>
    <m/>
    <m/>
    <m/>
    <m/>
    <x v="18"/>
    <x v="4"/>
    <x v="2"/>
  </r>
  <r>
    <x v="300"/>
    <x v="4"/>
    <m/>
    <x v="6"/>
    <x v="24"/>
    <m/>
    <m/>
    <m/>
    <m/>
    <m/>
    <m/>
    <m/>
    <x v="18"/>
    <x v="4"/>
    <x v="4"/>
  </r>
  <r>
    <x v="300"/>
    <x v="4"/>
    <m/>
    <x v="6"/>
    <x v="24"/>
    <m/>
    <m/>
    <m/>
    <m/>
    <m/>
    <m/>
    <m/>
    <x v="18"/>
    <x v="4"/>
    <x v="2"/>
  </r>
  <r>
    <x v="300"/>
    <x v="4"/>
    <m/>
    <x v="6"/>
    <x v="24"/>
    <m/>
    <m/>
    <m/>
    <m/>
    <m/>
    <m/>
    <m/>
    <x v="18"/>
    <x v="4"/>
    <x v="0"/>
  </r>
  <r>
    <x v="300"/>
    <x v="4"/>
    <m/>
    <x v="6"/>
    <x v="24"/>
    <m/>
    <m/>
    <m/>
    <m/>
    <m/>
    <m/>
    <m/>
    <x v="18"/>
    <x v="4"/>
    <x v="4"/>
  </r>
  <r>
    <x v="300"/>
    <x v="4"/>
    <m/>
    <x v="6"/>
    <x v="24"/>
    <m/>
    <m/>
    <m/>
    <m/>
    <m/>
    <m/>
    <m/>
    <x v="18"/>
    <x v="4"/>
    <x v="2"/>
  </r>
  <r>
    <x v="300"/>
    <x v="4"/>
    <m/>
    <x v="6"/>
    <x v="24"/>
    <m/>
    <m/>
    <m/>
    <m/>
    <m/>
    <m/>
    <m/>
    <x v="18"/>
    <x v="4"/>
    <x v="4"/>
  </r>
  <r>
    <x v="300"/>
    <x v="4"/>
    <m/>
    <x v="6"/>
    <x v="24"/>
    <m/>
    <m/>
    <m/>
    <m/>
    <m/>
    <m/>
    <m/>
    <x v="18"/>
    <x v="4"/>
    <x v="2"/>
  </r>
  <r>
    <x v="300"/>
    <x v="4"/>
    <m/>
    <x v="6"/>
    <x v="24"/>
    <m/>
    <m/>
    <m/>
    <m/>
    <m/>
    <m/>
    <m/>
    <x v="18"/>
    <x v="4"/>
    <x v="1"/>
  </r>
  <r>
    <x v="300"/>
    <x v="4"/>
    <m/>
    <x v="6"/>
    <x v="24"/>
    <m/>
    <m/>
    <m/>
    <m/>
    <m/>
    <m/>
    <m/>
    <x v="18"/>
    <x v="4"/>
    <x v="4"/>
  </r>
  <r>
    <x v="300"/>
    <x v="4"/>
    <m/>
    <x v="6"/>
    <x v="24"/>
    <m/>
    <m/>
    <m/>
    <m/>
    <m/>
    <m/>
    <m/>
    <x v="18"/>
    <x v="4"/>
    <x v="0"/>
  </r>
  <r>
    <x v="300"/>
    <x v="4"/>
    <m/>
    <x v="6"/>
    <x v="24"/>
    <m/>
    <m/>
    <m/>
    <m/>
    <m/>
    <m/>
    <m/>
    <x v="18"/>
    <x v="4"/>
    <x v="0"/>
  </r>
  <r>
    <x v="300"/>
    <x v="4"/>
    <m/>
    <x v="6"/>
    <x v="24"/>
    <m/>
    <m/>
    <m/>
    <m/>
    <m/>
    <m/>
    <m/>
    <x v="18"/>
    <x v="4"/>
    <x v="2"/>
  </r>
  <r>
    <x v="300"/>
    <x v="4"/>
    <m/>
    <x v="6"/>
    <x v="24"/>
    <m/>
    <m/>
    <m/>
    <m/>
    <m/>
    <m/>
    <m/>
    <x v="18"/>
    <x v="4"/>
    <x v="4"/>
  </r>
  <r>
    <x v="300"/>
    <x v="4"/>
    <m/>
    <x v="6"/>
    <x v="24"/>
    <m/>
    <m/>
    <m/>
    <m/>
    <m/>
    <m/>
    <m/>
    <x v="18"/>
    <x v="4"/>
    <x v="0"/>
  </r>
  <r>
    <x v="300"/>
    <x v="4"/>
    <m/>
    <x v="6"/>
    <x v="24"/>
    <m/>
    <m/>
    <m/>
    <m/>
    <m/>
    <m/>
    <m/>
    <x v="18"/>
    <x v="4"/>
    <x v="4"/>
  </r>
  <r>
    <x v="300"/>
    <x v="4"/>
    <m/>
    <x v="6"/>
    <x v="24"/>
    <m/>
    <m/>
    <m/>
    <m/>
    <m/>
    <m/>
    <m/>
    <x v="18"/>
    <x v="4"/>
    <x v="0"/>
  </r>
  <r>
    <x v="300"/>
    <x v="4"/>
    <m/>
    <x v="6"/>
    <x v="24"/>
    <m/>
    <m/>
    <m/>
    <m/>
    <m/>
    <m/>
    <m/>
    <x v="18"/>
    <x v="4"/>
    <x v="0"/>
  </r>
  <r>
    <x v="300"/>
    <x v="4"/>
    <m/>
    <x v="6"/>
    <x v="24"/>
    <m/>
    <m/>
    <m/>
    <m/>
    <m/>
    <m/>
    <m/>
    <x v="18"/>
    <x v="4"/>
    <x v="4"/>
  </r>
  <r>
    <x v="300"/>
    <x v="4"/>
    <m/>
    <x v="6"/>
    <x v="24"/>
    <m/>
    <m/>
    <m/>
    <m/>
    <m/>
    <m/>
    <m/>
    <x v="18"/>
    <x v="4"/>
    <x v="4"/>
  </r>
  <r>
    <x v="300"/>
    <x v="4"/>
    <m/>
    <x v="6"/>
    <x v="24"/>
    <m/>
    <m/>
    <m/>
    <m/>
    <m/>
    <m/>
    <m/>
    <x v="18"/>
    <x v="4"/>
    <x v="2"/>
  </r>
  <r>
    <x v="300"/>
    <x v="4"/>
    <m/>
    <x v="6"/>
    <x v="24"/>
    <m/>
    <m/>
    <m/>
    <m/>
    <m/>
    <m/>
    <m/>
    <x v="18"/>
    <x v="4"/>
    <x v="1"/>
  </r>
  <r>
    <x v="300"/>
    <x v="4"/>
    <m/>
    <x v="6"/>
    <x v="24"/>
    <m/>
    <m/>
    <m/>
    <m/>
    <m/>
    <m/>
    <m/>
    <x v="18"/>
    <x v="4"/>
    <x v="4"/>
  </r>
  <r>
    <x v="300"/>
    <x v="4"/>
    <m/>
    <x v="6"/>
    <x v="24"/>
    <m/>
    <m/>
    <m/>
    <m/>
    <m/>
    <m/>
    <m/>
    <x v="18"/>
    <x v="4"/>
    <x v="4"/>
  </r>
  <r>
    <x v="300"/>
    <x v="4"/>
    <m/>
    <x v="6"/>
    <x v="24"/>
    <m/>
    <m/>
    <m/>
    <m/>
    <m/>
    <m/>
    <m/>
    <x v="18"/>
    <x v="4"/>
    <x v="0"/>
  </r>
  <r>
    <x v="300"/>
    <x v="4"/>
    <m/>
    <x v="6"/>
    <x v="24"/>
    <m/>
    <m/>
    <m/>
    <m/>
    <m/>
    <m/>
    <m/>
    <x v="18"/>
    <x v="4"/>
    <x v="2"/>
  </r>
  <r>
    <x v="300"/>
    <x v="4"/>
    <m/>
    <x v="6"/>
    <x v="24"/>
    <m/>
    <m/>
    <m/>
    <m/>
    <m/>
    <m/>
    <m/>
    <x v="18"/>
    <x v="4"/>
    <x v="1"/>
  </r>
  <r>
    <x v="300"/>
    <x v="4"/>
    <m/>
    <x v="6"/>
    <x v="24"/>
    <m/>
    <m/>
    <m/>
    <m/>
    <m/>
    <m/>
    <m/>
    <x v="18"/>
    <x v="4"/>
    <x v="2"/>
  </r>
  <r>
    <x v="300"/>
    <x v="4"/>
    <m/>
    <x v="6"/>
    <x v="24"/>
    <m/>
    <m/>
    <m/>
    <m/>
    <m/>
    <m/>
    <m/>
    <x v="18"/>
    <x v="4"/>
    <x v="5"/>
  </r>
  <r>
    <x v="300"/>
    <x v="4"/>
    <m/>
    <x v="6"/>
    <x v="24"/>
    <m/>
    <m/>
    <m/>
    <m/>
    <m/>
    <m/>
    <m/>
    <x v="18"/>
    <x v="4"/>
    <x v="4"/>
  </r>
  <r>
    <x v="300"/>
    <x v="4"/>
    <m/>
    <x v="6"/>
    <x v="24"/>
    <m/>
    <m/>
    <m/>
    <m/>
    <m/>
    <m/>
    <m/>
    <x v="18"/>
    <x v="4"/>
    <x v="2"/>
  </r>
  <r>
    <x v="300"/>
    <x v="4"/>
    <m/>
    <x v="6"/>
    <x v="24"/>
    <m/>
    <m/>
    <m/>
    <m/>
    <m/>
    <m/>
    <m/>
    <x v="18"/>
    <x v="4"/>
    <x v="0"/>
  </r>
  <r>
    <x v="300"/>
    <x v="4"/>
    <m/>
    <x v="6"/>
    <x v="24"/>
    <m/>
    <m/>
    <m/>
    <m/>
    <m/>
    <m/>
    <m/>
    <x v="18"/>
    <x v="4"/>
    <x v="2"/>
  </r>
  <r>
    <x v="300"/>
    <x v="4"/>
    <m/>
    <x v="6"/>
    <x v="24"/>
    <m/>
    <m/>
    <m/>
    <m/>
    <m/>
    <m/>
    <m/>
    <x v="18"/>
    <x v="4"/>
    <x v="4"/>
  </r>
  <r>
    <x v="300"/>
    <x v="4"/>
    <m/>
    <x v="6"/>
    <x v="24"/>
    <m/>
    <m/>
    <m/>
    <m/>
    <m/>
    <m/>
    <m/>
    <x v="18"/>
    <x v="4"/>
    <x v="3"/>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6"/>
  </r>
  <r>
    <x v="300"/>
    <x v="4"/>
    <m/>
    <x v="6"/>
    <x v="24"/>
    <m/>
    <m/>
    <m/>
    <m/>
    <m/>
    <m/>
    <m/>
    <x v="18"/>
    <x v="4"/>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n v="1135"/>
    <n v="88"/>
    <n v="344084"/>
    <n v="8.06"/>
    <n v="5904"/>
    <n v="3.0428616268120576E-3"/>
  </r>
  <r>
    <x v="0"/>
    <x v="1"/>
    <n v="1312"/>
    <n v="310"/>
    <n v="42654"/>
    <n v="4.9800000000000004"/>
    <n v="9566"/>
    <n v="2.3491348994232664E-2"/>
  </r>
  <r>
    <x v="0"/>
    <x v="2"/>
    <n v="584"/>
    <n v="169"/>
    <n v="146834"/>
    <n v="8.31"/>
    <n v="26752"/>
    <n v="2.826320879360366E-3"/>
  </r>
  <r>
    <x v="0"/>
    <x v="3"/>
    <n v="1535"/>
    <n v="445"/>
    <n v="395536"/>
    <n v="4.1100000000000003"/>
    <n v="30671"/>
    <n v="2.7557542170624167E-3"/>
  </r>
  <r>
    <x v="1"/>
    <x v="0"/>
    <n v="656"/>
    <n v="139"/>
    <n v="49157"/>
    <n v="9.0500000000000007"/>
    <n v="9920"/>
    <n v="1.0517322049758936E-2"/>
  </r>
  <r>
    <x v="1"/>
    <x v="1"/>
    <n v="1697"/>
    <n v="414"/>
    <n v="316555"/>
    <n v="2.37"/>
    <n v="7924"/>
    <n v="4.0530081660374974E-3"/>
  </r>
  <r>
    <x v="1"/>
    <x v="2"/>
    <n v="436"/>
    <n v="250"/>
    <n v="254347"/>
    <n v="4.01"/>
    <n v="8912"/>
    <n v="7.3128442639386348E-4"/>
  </r>
  <r>
    <x v="1"/>
    <x v="3"/>
    <n v="1197"/>
    <n v="203"/>
    <n v="413878"/>
    <n v="3.16"/>
    <n v="21205"/>
    <n v="2.4016739232334168E-3"/>
  </r>
  <r>
    <x v="2"/>
    <x v="0"/>
    <n v="1048"/>
    <n v="155"/>
    <n v="456946"/>
    <n v="2.46"/>
    <n v="11329"/>
    <n v="1.9542790614208243E-3"/>
  </r>
  <r>
    <x v="2"/>
    <x v="1"/>
    <n v="1753"/>
    <n v="371"/>
    <n v="169496"/>
    <n v="8.11"/>
    <n v="46670"/>
    <n v="8.1535847453627231E-3"/>
  </r>
  <r>
    <x v="2"/>
    <x v="2"/>
    <n v="1335"/>
    <n v="40"/>
    <n v="122732"/>
    <n v="8.19"/>
    <n v="22482"/>
    <n v="1.0551445425805821E-2"/>
  </r>
  <r>
    <x v="2"/>
    <x v="3"/>
    <n v="403"/>
    <n v="66"/>
    <n v="382851"/>
    <n v="3.49"/>
    <n v="24313"/>
    <n v="8.80238003818718E-4"/>
  </r>
  <r>
    <x v="3"/>
    <x v="0"/>
    <n v="911"/>
    <n v="282"/>
    <n v="35664"/>
    <n v="6.92"/>
    <n v="18050"/>
    <n v="1.7636832660385824E-2"/>
  </r>
  <r>
    <x v="3"/>
    <x v="1"/>
    <n v="1779"/>
    <n v="109"/>
    <n v="26295"/>
    <n v="9.1199999999999992"/>
    <n v="30635"/>
    <n v="6.3510173036698994E-2"/>
  </r>
  <r>
    <x v="3"/>
    <x v="2"/>
    <n v="1238"/>
    <n v="403"/>
    <n v="298421"/>
    <n v="3.5"/>
    <n v="31280"/>
    <n v="2.798060458211721E-3"/>
  </r>
  <r>
    <x v="3"/>
    <x v="3"/>
    <n v="308"/>
    <n v="431"/>
    <n v="426184"/>
    <n v="2.62"/>
    <n v="1783"/>
    <n v="-2.8860773750305035E-4"/>
  </r>
  <r>
    <x v="4"/>
    <x v="0"/>
    <n v="226"/>
    <n v="445"/>
    <n v="419447"/>
    <n v="9.36"/>
    <n v="9566"/>
    <n v="-5.2211602419375983E-4"/>
  </r>
  <r>
    <x v="4"/>
    <x v="1"/>
    <n v="505"/>
    <n v="441"/>
    <n v="220020"/>
    <n v="4.4800000000000004"/>
    <n v="42307"/>
    <n v="2.9088264703208797E-4"/>
  </r>
  <r>
    <x v="4"/>
    <x v="2"/>
    <n v="1420"/>
    <n v="63"/>
    <n v="315305"/>
    <n v="6.19"/>
    <n v="5914"/>
    <n v="4.3037693661692649E-3"/>
  </r>
  <r>
    <x v="4"/>
    <x v="3"/>
    <n v="144"/>
    <n v="53"/>
    <n v="113678"/>
    <n v="8.7200000000000006"/>
    <n v="30060"/>
    <n v="8.0050669434719116E-4"/>
  </r>
  <r>
    <x v="5"/>
    <x v="0"/>
    <n v="1757"/>
    <n v="85"/>
    <n v="58223"/>
    <n v="8.74"/>
    <n v="22728"/>
    <n v="2.8717173625543171E-2"/>
  </r>
  <r>
    <x v="5"/>
    <x v="1"/>
    <n v="350"/>
    <n v="41"/>
    <n v="251694"/>
    <n v="1.91"/>
    <n v="38610"/>
    <n v="1.2276812319721568E-3"/>
  </r>
  <r>
    <x v="5"/>
    <x v="2"/>
    <n v="987"/>
    <n v="440"/>
    <n v="389810"/>
    <n v="4.66"/>
    <n v="2932"/>
    <n v="1.40324773607655E-3"/>
  </r>
  <r>
    <x v="5"/>
    <x v="3"/>
    <n v="883"/>
    <n v="369"/>
    <n v="233694"/>
    <n v="2.88"/>
    <n v="15071"/>
    <n v="2.1994574101175039E-3"/>
  </r>
  <r>
    <x v="6"/>
    <x v="0"/>
    <n v="1960"/>
    <n v="115"/>
    <n v="154169"/>
    <n v="3.74"/>
    <n v="10740"/>
    <n v="1.1967386439556591E-2"/>
  </r>
  <r>
    <x v="6"/>
    <x v="1"/>
    <n v="170"/>
    <n v="334"/>
    <n v="334626"/>
    <n v="6.44"/>
    <n v="43420"/>
    <n v="-4.9009939454794306E-4"/>
  </r>
  <r>
    <x v="6"/>
    <x v="2"/>
    <n v="704"/>
    <n v="275"/>
    <n v="226002"/>
    <n v="8.56"/>
    <n v="32393"/>
    <n v="1.8982132901478749E-3"/>
  </r>
  <r>
    <x v="6"/>
    <x v="3"/>
    <n v="224"/>
    <n v="64"/>
    <n v="156683"/>
    <n v="4.5599999999999996"/>
    <n v="28474"/>
    <n v="1.0211701333265254E-3"/>
  </r>
  <r>
    <x v="7"/>
    <x v="0"/>
    <n v="508"/>
    <n v="349"/>
    <n v="473812"/>
    <n v="7.88"/>
    <n v="17328"/>
    <n v="3.3557613568250698E-4"/>
  </r>
  <r>
    <x v="7"/>
    <x v="1"/>
    <n v="1391"/>
    <n v="430"/>
    <n v="295032"/>
    <n v="7.86"/>
    <n v="26067"/>
    <n v="3.2572737872501967E-3"/>
  </r>
  <r>
    <x v="7"/>
    <x v="2"/>
    <n v="1701"/>
    <n v="385"/>
    <n v="198278"/>
    <n v="5.34"/>
    <n v="32763"/>
    <n v="6.6371458255580548E-3"/>
  </r>
  <r>
    <x v="7"/>
    <x v="3"/>
    <n v="804"/>
    <n v="487"/>
    <n v="306564"/>
    <n v="5.52"/>
    <n v="26452"/>
    <n v="1.0340418313957282E-3"/>
  </r>
  <r>
    <x v="8"/>
    <x v="0"/>
    <n v="653"/>
    <n v="112"/>
    <n v="23664"/>
    <n v="4.05"/>
    <n v="15353"/>
    <n v="2.2861730899256253E-2"/>
  </r>
  <r>
    <x v="8"/>
    <x v="1"/>
    <n v="160"/>
    <n v="478"/>
    <n v="435034"/>
    <n v="7.73"/>
    <n v="4839"/>
    <n v="-7.3097734889686784E-4"/>
  </r>
  <r>
    <x v="8"/>
    <x v="2"/>
    <n v="1756"/>
    <n v="261"/>
    <n v="287574"/>
    <n v="4.3600000000000003"/>
    <n v="39272"/>
    <n v="5.1986619096302169E-3"/>
  </r>
  <r>
    <x v="8"/>
    <x v="3"/>
    <n v="576"/>
    <n v="101"/>
    <n v="62499"/>
    <n v="3.48"/>
    <n v="16804"/>
    <n v="7.600121601945631E-3"/>
  </r>
  <r>
    <x v="9"/>
    <x v="0"/>
    <n v="645"/>
    <n v="293"/>
    <n v="437968"/>
    <n v="7.83"/>
    <n v="49303"/>
    <n v="8.0371168669857163E-4"/>
  </r>
  <r>
    <x v="9"/>
    <x v="1"/>
    <n v="214"/>
    <n v="411"/>
    <n v="125034"/>
    <n v="6.11"/>
    <n v="26455"/>
    <n v="-1.5755714445670778E-3"/>
  </r>
  <r>
    <x v="9"/>
    <x v="2"/>
    <n v="826"/>
    <n v="498"/>
    <n v="449994"/>
    <n v="9.43"/>
    <n v="12384"/>
    <n v="7.2889860753698943E-4"/>
  </r>
  <r>
    <x v="9"/>
    <x v="3"/>
    <n v="460"/>
    <n v="141"/>
    <n v="320650"/>
    <n v="4.04"/>
    <n v="49372"/>
    <n v="9.9485420240137223E-4"/>
  </r>
  <r>
    <x v="10"/>
    <x v="0"/>
    <n v="1528"/>
    <n v="203"/>
    <n v="489188"/>
    <n v="6.23"/>
    <n v="47101"/>
    <n v="2.7085701202809553E-3"/>
  </r>
  <r>
    <x v="10"/>
    <x v="1"/>
    <n v="1534"/>
    <n v="200"/>
    <n v="307612"/>
    <n v="6.01"/>
    <n v="37903"/>
    <n v="4.3366318609156986E-3"/>
  </r>
  <r>
    <x v="10"/>
    <x v="2"/>
    <n v="485"/>
    <n v="448"/>
    <n v="434883"/>
    <n v="8.5500000000000007"/>
    <n v="33258"/>
    <n v="8.5080354946042954E-5"/>
  </r>
  <r>
    <x v="10"/>
    <x v="3"/>
    <n v="1210"/>
    <n v="178"/>
    <n v="102042"/>
    <n v="5.42"/>
    <n v="6915"/>
    <n v="1.011348268360087E-2"/>
  </r>
  <r>
    <x v="11"/>
    <x v="0"/>
    <n v="215"/>
    <n v="139"/>
    <n v="325444"/>
    <n v="3.25"/>
    <n v="35501"/>
    <n v="2.335271198731579E-4"/>
  </r>
  <r>
    <x v="11"/>
    <x v="1"/>
    <n v="1078"/>
    <n v="20"/>
    <n v="183924"/>
    <n v="8.84"/>
    <n v="14203"/>
    <n v="5.7523759813836147E-3"/>
  </r>
  <r>
    <x v="11"/>
    <x v="2"/>
    <n v="1751"/>
    <n v="86"/>
    <n v="188655"/>
    <n v="7.24"/>
    <n v="22206"/>
    <n v="8.825634093981077E-3"/>
  </r>
  <r>
    <x v="11"/>
    <x v="3"/>
    <n v="221"/>
    <n v="31"/>
    <n v="87443"/>
    <n v="6.19"/>
    <n v="10283"/>
    <n v="2.1728440241071327E-3"/>
  </r>
  <r>
    <x v="12"/>
    <x v="0"/>
    <n v="1685"/>
    <n v="76"/>
    <n v="453799"/>
    <n v="5.71"/>
    <n v="24913"/>
    <n v="3.5456226214689766E-3"/>
  </r>
  <r>
    <x v="12"/>
    <x v="1"/>
    <n v="248"/>
    <n v="211"/>
    <n v="379380"/>
    <n v="9.0399999999999991"/>
    <n v="26925"/>
    <n v="9.7527544941747058E-5"/>
  </r>
  <r>
    <x v="12"/>
    <x v="2"/>
    <n v="1300"/>
    <n v="71"/>
    <n v="186454"/>
    <n v="3.91"/>
    <n v="9942"/>
    <n v="6.5914381026955706E-3"/>
  </r>
  <r>
    <x v="12"/>
    <x v="3"/>
    <n v="422"/>
    <n v="394"/>
    <n v="239044"/>
    <n v="7.83"/>
    <n v="32929"/>
    <n v="1.1713324743561855E-4"/>
  </r>
  <r>
    <x v="13"/>
    <x v="0"/>
    <n v="1429"/>
    <n v="182"/>
    <n v="101332"/>
    <n v="7.16"/>
    <n v="37829"/>
    <n v="1.2306082974775983E-2"/>
  </r>
  <r>
    <x v="13"/>
    <x v="1"/>
    <n v="1520"/>
    <n v="475"/>
    <n v="496982"/>
    <n v="6.41"/>
    <n v="24384"/>
    <n v="2.1026918479944948E-3"/>
  </r>
  <r>
    <x v="13"/>
    <x v="2"/>
    <n v="557"/>
    <n v="360"/>
    <n v="318779"/>
    <n v="8.02"/>
    <n v="25797"/>
    <n v="6.1798299135137512E-4"/>
  </r>
  <r>
    <x v="13"/>
    <x v="3"/>
    <n v="728"/>
    <n v="395"/>
    <n v="370971"/>
    <n v="3.86"/>
    <n v="12646"/>
    <n v="8.9764429025449434E-4"/>
  </r>
  <r>
    <x v="14"/>
    <x v="0"/>
    <n v="1592"/>
    <n v="20"/>
    <n v="378054"/>
    <n v="9.09"/>
    <n v="26663"/>
    <n v="4.1581361392816901E-3"/>
  </r>
  <r>
    <x v="14"/>
    <x v="1"/>
    <n v="1842"/>
    <n v="414"/>
    <n v="307524"/>
    <n v="1.76"/>
    <n v="40478"/>
    <n v="4.6435400163889647E-3"/>
  </r>
  <r>
    <x v="14"/>
    <x v="2"/>
    <n v="751"/>
    <n v="491"/>
    <n v="434047"/>
    <n v="9.24"/>
    <n v="15476"/>
    <n v="5.990134708914012E-4"/>
  </r>
  <r>
    <x v="14"/>
    <x v="3"/>
    <n v="1409"/>
    <n v="309"/>
    <n v="64583"/>
    <n v="8.99"/>
    <n v="10217"/>
    <n v="1.7032345973398571E-2"/>
  </r>
  <r>
    <x v="15"/>
    <x v="0"/>
    <n v="778"/>
    <n v="401"/>
    <n v="50793"/>
    <n v="3.4"/>
    <n v="21939"/>
    <n v="7.4222825979957871E-3"/>
  </r>
  <r>
    <x v="15"/>
    <x v="1"/>
    <n v="443"/>
    <n v="345"/>
    <n v="474162"/>
    <n v="9.1999999999999993"/>
    <n v="47462"/>
    <n v="2.0668041724136477E-4"/>
  </r>
  <r>
    <x v="15"/>
    <x v="2"/>
    <n v="1472"/>
    <n v="347"/>
    <n v="392355"/>
    <n v="8.59"/>
    <n v="30270"/>
    <n v="2.8673012960201858E-3"/>
  </r>
  <r>
    <x v="15"/>
    <x v="3"/>
    <n v="123"/>
    <n v="155"/>
    <n v="119934"/>
    <n v="3.5"/>
    <n v="5442"/>
    <n v="-2.6681341404439108E-4"/>
  </r>
  <r>
    <x v="16"/>
    <x v="0"/>
    <n v="817"/>
    <n v="151"/>
    <n v="422625"/>
    <n v="2.36"/>
    <n v="1083"/>
    <n v="1.5758651286601596E-3"/>
  </r>
  <r>
    <x v="16"/>
    <x v="1"/>
    <n v="198"/>
    <n v="217"/>
    <n v="239753"/>
    <n v="7.36"/>
    <n v="11901"/>
    <n v="-7.9248226299566635E-5"/>
  </r>
  <r>
    <x v="16"/>
    <x v="2"/>
    <n v="1911"/>
    <n v="231"/>
    <n v="268516"/>
    <n v="8.5500000000000007"/>
    <n v="24018"/>
    <n v="6.2566104068286429E-3"/>
  </r>
  <r>
    <x v="16"/>
    <x v="3"/>
    <n v="1218"/>
    <n v="212"/>
    <n v="63177"/>
    <n v="8.1300000000000008"/>
    <n v="38883"/>
    <n v="1.592351646960128E-2"/>
  </r>
  <r>
    <x v="17"/>
    <x v="0"/>
    <n v="1433"/>
    <n v="408"/>
    <n v="370269"/>
    <n v="3.3"/>
    <n v="30575"/>
    <n v="2.7682576721248606E-3"/>
  </r>
  <r>
    <x v="17"/>
    <x v="1"/>
    <n v="250"/>
    <n v="429"/>
    <n v="453423"/>
    <n v="1.77"/>
    <n v="2315"/>
    <n v="-3.9477485703195471E-4"/>
  </r>
  <r>
    <x v="17"/>
    <x v="2"/>
    <n v="752"/>
    <n v="153"/>
    <n v="64906"/>
    <n v="2.09"/>
    <n v="12148"/>
    <n v="9.2287307798970819E-3"/>
  </r>
  <r>
    <x v="17"/>
    <x v="3"/>
    <n v="1918"/>
    <n v="212"/>
    <n v="94360"/>
    <n v="7.36"/>
    <n v="36851"/>
    <n v="1.8079694785926241E-2"/>
  </r>
  <r>
    <x v="18"/>
    <x v="0"/>
    <n v="1939"/>
    <n v="67"/>
    <n v="187183"/>
    <n v="6.25"/>
    <n v="41215"/>
    <n v="1.0000908202133741E-2"/>
  </r>
  <r>
    <x v="18"/>
    <x v="1"/>
    <n v="1929"/>
    <n v="267"/>
    <n v="379363"/>
    <n v="1.75"/>
    <n v="43836"/>
    <n v="4.3810281972675247E-3"/>
  </r>
  <r>
    <x v="18"/>
    <x v="2"/>
    <n v="437"/>
    <n v="330"/>
    <n v="476486"/>
    <n v="4.97"/>
    <n v="4509"/>
    <n v="2.2456063766826309E-4"/>
  </r>
  <r>
    <x v="18"/>
    <x v="3"/>
    <n v="307"/>
    <n v="189"/>
    <n v="117767"/>
    <n v="9.3000000000000007"/>
    <n v="27822"/>
    <n v="1.0019784829366461E-3"/>
  </r>
  <r>
    <x v="19"/>
    <x v="0"/>
    <n v="1527"/>
    <n v="303"/>
    <n v="388555"/>
    <n v="8.9"/>
    <n v="36397"/>
    <n v="3.1501331857780751E-3"/>
  </r>
  <r>
    <x v="19"/>
    <x v="1"/>
    <n v="643"/>
    <n v="358"/>
    <n v="157599"/>
    <n v="3.88"/>
    <n v="7285"/>
    <n v="1.8083871090552605E-3"/>
  </r>
  <r>
    <x v="19"/>
    <x v="2"/>
    <n v="201"/>
    <n v="221"/>
    <n v="309772"/>
    <n v="5.9"/>
    <n v="33174"/>
    <n v="-6.456361452939582E-5"/>
  </r>
  <r>
    <x v="19"/>
    <x v="3"/>
    <n v="414"/>
    <n v="47"/>
    <n v="199178"/>
    <n v="1.53"/>
    <n v="6742"/>
    <n v="1.8425729749269497E-3"/>
  </r>
  <r>
    <x v="20"/>
    <x v="0"/>
    <n v="703"/>
    <n v="441"/>
    <n v="357089"/>
    <n v="6.5"/>
    <n v="32478"/>
    <n v="7.3371064356504961E-4"/>
  </r>
  <r>
    <x v="20"/>
    <x v="1"/>
    <n v="508"/>
    <n v="69"/>
    <n v="23492"/>
    <n v="3.16"/>
    <n v="42824"/>
    <n v="1.8687212668142345E-2"/>
  </r>
  <r>
    <x v="20"/>
    <x v="2"/>
    <n v="697"/>
    <n v="61"/>
    <n v="258287"/>
    <n v="8.25"/>
    <n v="21208"/>
    <n v="2.4623771231227277E-3"/>
  </r>
  <r>
    <x v="20"/>
    <x v="3"/>
    <n v="1707"/>
    <n v="223"/>
    <n v="256910"/>
    <n v="5.41"/>
    <n v="44321"/>
    <n v="5.7763419096181542E-3"/>
  </r>
  <r>
    <x v="21"/>
    <x v="0"/>
    <n v="642"/>
    <n v="66"/>
    <n v="346522"/>
    <n v="5.85"/>
    <n v="13116"/>
    <n v="1.6622321237901201E-3"/>
  </r>
  <r>
    <x v="21"/>
    <x v="1"/>
    <n v="859"/>
    <n v="473"/>
    <n v="209987"/>
    <n v="4.46"/>
    <n v="30214"/>
    <n v="1.8382090319876945E-3"/>
  </r>
  <r>
    <x v="21"/>
    <x v="2"/>
    <n v="191"/>
    <n v="154"/>
    <n v="240550"/>
    <n v="5.22"/>
    <n v="15827"/>
    <n v="1.5381417584701726E-4"/>
  </r>
  <r>
    <x v="21"/>
    <x v="3"/>
    <n v="1814"/>
    <n v="157"/>
    <n v="305827"/>
    <n v="1.99"/>
    <n v="46643"/>
    <n v="5.4180958515762179E-3"/>
  </r>
  <r>
    <x v="22"/>
    <x v="0"/>
    <n v="1466"/>
    <n v="69"/>
    <n v="54935"/>
    <n v="6.85"/>
    <n v="36484"/>
    <n v="2.5430053699827069E-2"/>
  </r>
  <r>
    <x v="22"/>
    <x v="1"/>
    <n v="947"/>
    <n v="407"/>
    <n v="319186"/>
    <n v="3.32"/>
    <n v="4996"/>
    <n v="1.6918035252172713E-3"/>
  </r>
  <r>
    <x v="22"/>
    <x v="2"/>
    <n v="1821"/>
    <n v="218"/>
    <n v="439080"/>
    <n v="5.68"/>
    <n v="36095"/>
    <n v="3.6508153411678964E-3"/>
  </r>
  <r>
    <x v="22"/>
    <x v="3"/>
    <n v="1507"/>
    <n v="463"/>
    <n v="258944"/>
    <n v="6.08"/>
    <n v="16443"/>
    <n v="4.0317597627286209E-3"/>
  </r>
  <r>
    <x v="23"/>
    <x v="0"/>
    <n v="1075"/>
    <n v="173"/>
    <n v="51395"/>
    <n v="4.66"/>
    <n v="47812"/>
    <n v="1.7550345364335054E-2"/>
  </r>
  <r>
    <x v="23"/>
    <x v="1"/>
    <n v="171"/>
    <n v="277"/>
    <n v="309483"/>
    <n v="8.6999999999999993"/>
    <n v="38452"/>
    <n v="-3.4250669665215861E-4"/>
  </r>
  <r>
    <x v="23"/>
    <x v="2"/>
    <n v="1487"/>
    <n v="337"/>
    <n v="87305"/>
    <n v="2.46"/>
    <n v="30428"/>
    <n v="1.3172212358971423E-2"/>
  </r>
  <r>
    <x v="23"/>
    <x v="3"/>
    <n v="454"/>
    <n v="105"/>
    <n v="121091"/>
    <n v="7.97"/>
    <n v="9269"/>
    <n v="2.8821299683708945E-3"/>
  </r>
  <r>
    <x v="24"/>
    <x v="0"/>
    <n v="187"/>
    <n v="236"/>
    <n v="51087"/>
    <n v="9.41"/>
    <n v="29533"/>
    <n v="-9.5914811987394058E-4"/>
  </r>
  <r>
    <x v="24"/>
    <x v="1"/>
    <n v="513"/>
    <n v="441"/>
    <n v="338847"/>
    <n v="2.68"/>
    <n v="39997"/>
    <n v="2.1248528096751631E-4"/>
  </r>
  <r>
    <x v="24"/>
    <x v="2"/>
    <n v="628"/>
    <n v="183"/>
    <n v="487523"/>
    <n v="7.32"/>
    <n v="5391"/>
    <n v="9.1277744844858602E-4"/>
  </r>
  <r>
    <x v="24"/>
    <x v="3"/>
    <n v="278"/>
    <n v="218"/>
    <n v="301695"/>
    <n v="4.68"/>
    <n v="22373"/>
    <n v="1.9887634863023914E-4"/>
  </r>
  <r>
    <x v="25"/>
    <x v="0"/>
    <n v="1854"/>
    <n v="161"/>
    <n v="282466"/>
    <n v="5.17"/>
    <n v="1810"/>
    <n v="5.9936417126309005E-3"/>
  </r>
  <r>
    <x v="25"/>
    <x v="1"/>
    <n v="1710"/>
    <n v="378"/>
    <n v="336661"/>
    <n v="6.2"/>
    <n v="28498"/>
    <n v="3.9565022381564839E-3"/>
  </r>
  <r>
    <x v="25"/>
    <x v="2"/>
    <n v="330"/>
    <n v="232"/>
    <n v="88455"/>
    <n v="2.69"/>
    <n v="39530"/>
    <n v="1.1079079758069075E-3"/>
  </r>
  <r>
    <x v="25"/>
    <x v="3"/>
    <n v="1293"/>
    <n v="408"/>
    <n v="62535"/>
    <n v="8.9"/>
    <n v="37876"/>
    <n v="1.4152074838090669E-2"/>
  </r>
  <r>
    <x v="26"/>
    <x v="0"/>
    <n v="1696"/>
    <n v="71"/>
    <n v="421957"/>
    <n v="3.79"/>
    <n v="36103"/>
    <n v="3.8511033114748661E-3"/>
  </r>
  <r>
    <x v="26"/>
    <x v="1"/>
    <n v="1902"/>
    <n v="196"/>
    <n v="470269"/>
    <n v="4.79"/>
    <n v="26103"/>
    <n v="3.6277109484146308E-3"/>
  </r>
  <r>
    <x v="26"/>
    <x v="2"/>
    <n v="1441"/>
    <n v="268"/>
    <n v="309904"/>
    <n v="6.37"/>
    <n v="3455"/>
    <n v="3.7850431101244257E-3"/>
  </r>
  <r>
    <x v="26"/>
    <x v="3"/>
    <n v="452"/>
    <n v="161"/>
    <n v="221274"/>
    <n v="2.65"/>
    <n v="40888"/>
    <n v="1.3151115811166245E-3"/>
  </r>
  <r>
    <x v="27"/>
    <x v="0"/>
    <n v="1494"/>
    <n v="375"/>
    <n v="220616"/>
    <n v="1.81"/>
    <n v="22724"/>
    <n v="5.0721615839286359E-3"/>
  </r>
  <r>
    <x v="27"/>
    <x v="1"/>
    <n v="1514"/>
    <n v="141"/>
    <n v="35842"/>
    <n v="7.47"/>
    <n v="18601"/>
    <n v="3.8307014117515761E-2"/>
  </r>
  <r>
    <x v="27"/>
    <x v="2"/>
    <n v="1937"/>
    <n v="210"/>
    <n v="20607"/>
    <n v="4.2"/>
    <n v="20861"/>
    <n v="8.3806473528412681E-2"/>
  </r>
  <r>
    <x v="27"/>
    <x v="3"/>
    <n v="736"/>
    <n v="163"/>
    <n v="451894"/>
    <n v="5.43"/>
    <n v="46625"/>
    <n v="1.2679964770499277E-3"/>
  </r>
  <r>
    <x v="28"/>
    <x v="0"/>
    <n v="1502"/>
    <n v="70"/>
    <n v="465553"/>
    <n v="3.32"/>
    <n v="20692"/>
    <n v="3.0759118725472716E-3"/>
  </r>
  <r>
    <x v="28"/>
    <x v="1"/>
    <n v="1623"/>
    <n v="246"/>
    <n v="415815"/>
    <n v="8.11"/>
    <n v="18656"/>
    <n v="3.311568846722701E-3"/>
  </r>
  <r>
    <x v="28"/>
    <x v="2"/>
    <n v="1592"/>
    <n v="233"/>
    <n v="327183"/>
    <n v="6.66"/>
    <n v="13316"/>
    <n v="4.1536387893013997E-3"/>
  </r>
  <r>
    <x v="28"/>
    <x v="3"/>
    <n v="1004"/>
    <n v="128"/>
    <n v="488901"/>
    <n v="8.09"/>
    <n v="49558"/>
    <n v="1.7917737946946315E-3"/>
  </r>
  <r>
    <x v="29"/>
    <x v="0"/>
    <n v="1092"/>
    <n v="408"/>
    <n v="280795"/>
    <n v="8.44"/>
    <n v="4683"/>
    <n v="2.4359408109118751E-3"/>
  </r>
  <r>
    <x v="29"/>
    <x v="1"/>
    <n v="1155"/>
    <n v="425"/>
    <n v="93347"/>
    <n v="2.02"/>
    <n v="47502"/>
    <n v="7.8202834584935772E-3"/>
  </r>
  <r>
    <x v="29"/>
    <x v="2"/>
    <n v="1137"/>
    <n v="226"/>
    <n v="81119"/>
    <n v="7.74"/>
    <n v="35359"/>
    <n v="1.1230414576116569E-2"/>
  </r>
  <r>
    <x v="29"/>
    <x v="3"/>
    <n v="1900"/>
    <n v="311"/>
    <n v="25177"/>
    <n v="2.89"/>
    <n v="14154"/>
    <n v="6.3113158835445049E-2"/>
  </r>
  <r>
    <x v="30"/>
    <x v="0"/>
    <n v="1814"/>
    <n v="49"/>
    <n v="140804"/>
    <n v="1.76"/>
    <n v="4313"/>
    <n v="1.253515525127127E-2"/>
  </r>
  <r>
    <x v="30"/>
    <x v="1"/>
    <n v="1980"/>
    <n v="204"/>
    <n v="379431"/>
    <n v="3.09"/>
    <n v="25140"/>
    <n v="4.6806929323118035E-3"/>
  </r>
  <r>
    <x v="30"/>
    <x v="2"/>
    <n v="1786"/>
    <n v="257"/>
    <n v="274831"/>
    <n v="4.68"/>
    <n v="9118"/>
    <n v="5.5634189738421064E-3"/>
  </r>
  <r>
    <x v="30"/>
    <x v="3"/>
    <n v="1495"/>
    <n v="35"/>
    <n v="136845"/>
    <n v="4.4800000000000004"/>
    <n v="39931"/>
    <n v="1.0669005078738719E-2"/>
  </r>
  <r>
    <x v="31"/>
    <x v="0"/>
    <n v="1013"/>
    <n v="110"/>
    <n v="466382"/>
    <n v="5.3"/>
    <n v="37132"/>
    <n v="1.9361810704529763E-3"/>
  </r>
  <r>
    <x v="31"/>
    <x v="1"/>
    <n v="816"/>
    <n v="196"/>
    <n v="95728"/>
    <n v="8.1999999999999993"/>
    <n v="17951"/>
    <n v="6.4766839378238338E-3"/>
  </r>
  <r>
    <x v="31"/>
    <x v="2"/>
    <n v="1633"/>
    <n v="445"/>
    <n v="371156"/>
    <n v="2.2200000000000002"/>
    <n v="2798"/>
    <n v="3.2008104408927781E-3"/>
  </r>
  <r>
    <x v="31"/>
    <x v="3"/>
    <n v="891"/>
    <n v="45"/>
    <n v="95410"/>
    <n v="8.33"/>
    <n v="15045"/>
    <n v="8.8669950738916262E-3"/>
  </r>
  <r>
    <x v="32"/>
    <x v="0"/>
    <n v="1855"/>
    <n v="133"/>
    <n v="349413"/>
    <n v="3.3"/>
    <n v="14548"/>
    <n v="4.9282654051223049E-3"/>
  </r>
  <r>
    <x v="32"/>
    <x v="1"/>
    <n v="651"/>
    <n v="353"/>
    <n v="224699"/>
    <n v="5.61"/>
    <n v="45708"/>
    <n v="1.3262186302564765E-3"/>
  </r>
  <r>
    <x v="32"/>
    <x v="2"/>
    <n v="118"/>
    <n v="262"/>
    <n v="487896"/>
    <n v="2.56"/>
    <n v="12350"/>
    <n v="-2.9514486693885583E-4"/>
  </r>
  <r>
    <x v="32"/>
    <x v="3"/>
    <n v="1331"/>
    <n v="430"/>
    <n v="14437"/>
    <n v="3.29"/>
    <n v="40868"/>
    <n v="6.2409087760615087E-2"/>
  </r>
  <r>
    <x v="33"/>
    <x v="0"/>
    <n v="1748"/>
    <n v="176"/>
    <n v="383681"/>
    <n v="9.24"/>
    <n v="43122"/>
    <n v="4.0971536250166149E-3"/>
  </r>
  <r>
    <x v="33"/>
    <x v="1"/>
    <n v="663"/>
    <n v="236"/>
    <n v="479490"/>
    <n v="4.51"/>
    <n v="23853"/>
    <n v="8.9052952094934197E-4"/>
  </r>
  <r>
    <x v="33"/>
    <x v="2"/>
    <n v="1040"/>
    <n v="149"/>
    <n v="124404"/>
    <n v="5.23"/>
    <n v="45380"/>
    <n v="7.1621491270377159E-3"/>
  </r>
  <r>
    <x v="33"/>
    <x v="3"/>
    <n v="1166"/>
    <n v="442"/>
    <n v="336949"/>
    <n v="4.68"/>
    <n v="7705"/>
    <n v="2.1486931256659019E-3"/>
  </r>
  <r>
    <x v="34"/>
    <x v="0"/>
    <n v="115"/>
    <n v="281"/>
    <n v="357265"/>
    <n v="9.23"/>
    <n v="25525"/>
    <n v="-4.6464109274628077E-4"/>
  </r>
  <r>
    <x v="34"/>
    <x v="1"/>
    <n v="1249"/>
    <n v="351"/>
    <n v="321307"/>
    <n v="6.37"/>
    <n v="20560"/>
    <n v="2.7948348464241365E-3"/>
  </r>
  <r>
    <x v="34"/>
    <x v="2"/>
    <n v="1501"/>
    <n v="75"/>
    <n v="262569"/>
    <n v="2.0099999999999998"/>
    <n v="19119"/>
    <n v="5.4309533874905263E-3"/>
  </r>
  <r>
    <x v="34"/>
    <x v="3"/>
    <n v="1411"/>
    <n v="186"/>
    <n v="461669"/>
    <n v="3.72"/>
    <n v="43999"/>
    <n v="2.6534161921203288E-3"/>
  </r>
  <r>
    <x v="35"/>
    <x v="0"/>
    <n v="1556"/>
    <n v="476"/>
    <n v="351556"/>
    <n v="3.89"/>
    <n v="10825"/>
    <n v="3.0720567989168156E-3"/>
  </r>
  <r>
    <x v="35"/>
    <x v="1"/>
    <n v="1159"/>
    <n v="411"/>
    <n v="135987"/>
    <n v="8.6999999999999993"/>
    <n v="40323"/>
    <n v="5.5005257855530306E-3"/>
  </r>
  <r>
    <x v="35"/>
    <x v="2"/>
    <n v="927"/>
    <n v="358"/>
    <n v="177554"/>
    <n v="6.95"/>
    <n v="48270"/>
    <n v="3.2046588643454949E-3"/>
  </r>
  <r>
    <x v="35"/>
    <x v="3"/>
    <n v="152"/>
    <n v="355"/>
    <n v="270766"/>
    <n v="9.48"/>
    <n v="18001"/>
    <n v="-7.4972485467156139E-4"/>
  </r>
  <r>
    <x v="36"/>
    <x v="0"/>
    <n v="1957"/>
    <n v="234"/>
    <n v="222126"/>
    <n v="4.6100000000000003"/>
    <n v="3314"/>
    <n v="7.7568587198256845E-3"/>
  </r>
  <r>
    <x v="36"/>
    <x v="1"/>
    <n v="1294"/>
    <n v="382"/>
    <n v="309914"/>
    <n v="8.0299999999999994"/>
    <n v="23489"/>
    <n v="2.9427518601934728E-3"/>
  </r>
  <r>
    <x v="36"/>
    <x v="2"/>
    <n v="1587"/>
    <n v="385"/>
    <n v="126582"/>
    <n v="6.99"/>
    <n v="42832"/>
    <n v="9.4958208908059605E-3"/>
  </r>
  <r>
    <x v="36"/>
    <x v="3"/>
    <n v="1707"/>
    <n v="263"/>
    <n v="485280"/>
    <n v="9.0299999999999994"/>
    <n v="24494"/>
    <n v="2.9756017144741179E-3"/>
  </r>
  <r>
    <x v="37"/>
    <x v="0"/>
    <n v="1138"/>
    <n v="173"/>
    <n v="453243"/>
    <n v="2.86"/>
    <n v="44097"/>
    <n v="2.1291007252180398E-3"/>
  </r>
  <r>
    <x v="37"/>
    <x v="1"/>
    <n v="1895"/>
    <n v="305"/>
    <n v="104967"/>
    <n v="3.85"/>
    <n v="31853"/>
    <n v="1.5147617822744291E-2"/>
  </r>
  <r>
    <x v="37"/>
    <x v="2"/>
    <n v="362"/>
    <n v="399"/>
    <n v="145608"/>
    <n v="7.3"/>
    <n v="37636"/>
    <n v="-2.5410691720235154E-4"/>
  </r>
  <r>
    <x v="37"/>
    <x v="3"/>
    <n v="1662"/>
    <n v="487"/>
    <n v="105980"/>
    <n v="9.08"/>
    <n v="22996"/>
    <n v="1.1086997546706926E-2"/>
  </r>
  <r>
    <x v="38"/>
    <x v="0"/>
    <n v="1440"/>
    <n v="65"/>
    <n v="126524"/>
    <n v="4.34"/>
    <n v="49772"/>
    <n v="1.0867503398564699E-2"/>
  </r>
  <r>
    <x v="38"/>
    <x v="1"/>
    <n v="1884"/>
    <n v="177"/>
    <n v="230448"/>
    <n v="7.8"/>
    <n v="22713"/>
    <n v="7.4073109768798169E-3"/>
  </r>
  <r>
    <x v="38"/>
    <x v="2"/>
    <n v="861"/>
    <n v="153"/>
    <n v="317007"/>
    <n v="3.85"/>
    <n v="8718"/>
    <n v="2.2333891680625349E-3"/>
  </r>
  <r>
    <x v="38"/>
    <x v="3"/>
    <n v="1063"/>
    <n v="47"/>
    <n v="464239"/>
    <n v="6.58"/>
    <n v="39031"/>
    <n v="2.1885278918832756E-3"/>
  </r>
  <r>
    <x v="39"/>
    <x v="0"/>
    <n v="1371"/>
    <n v="56"/>
    <n v="257579"/>
    <n v="8.6199999999999992"/>
    <n v="33799"/>
    <n v="5.1052298518124532E-3"/>
  </r>
  <r>
    <x v="39"/>
    <x v="1"/>
    <n v="345"/>
    <n v="464"/>
    <n v="366881"/>
    <n v="4.55"/>
    <n v="20553"/>
    <n v="-3.2435585380545735E-4"/>
  </r>
  <r>
    <x v="39"/>
    <x v="2"/>
    <n v="946"/>
    <n v="47"/>
    <n v="466575"/>
    <n v="8.33"/>
    <n v="10002"/>
    <n v="1.9268070513850934E-3"/>
  </r>
  <r>
    <x v="39"/>
    <x v="3"/>
    <n v="510"/>
    <n v="195"/>
    <n v="224534"/>
    <n v="9.4"/>
    <n v="30987"/>
    <n v="1.4029055733207443E-3"/>
  </r>
  <r>
    <x v="40"/>
    <x v="0"/>
    <n v="393"/>
    <n v="181"/>
    <n v="462142"/>
    <n v="7.23"/>
    <n v="6296"/>
    <n v="4.5873346287504706E-4"/>
  </r>
  <r>
    <x v="40"/>
    <x v="1"/>
    <n v="1098"/>
    <n v="190"/>
    <n v="340842"/>
    <n v="9.39"/>
    <n v="21539"/>
    <n v="2.6639909400836752E-3"/>
  </r>
  <r>
    <x v="40"/>
    <x v="2"/>
    <n v="1399"/>
    <n v="49"/>
    <n v="12471"/>
    <n v="5.12"/>
    <n v="14722"/>
    <n v="0.10825114265095021"/>
  </r>
  <r>
    <x v="40"/>
    <x v="3"/>
    <n v="1658"/>
    <n v="416"/>
    <n v="98397"/>
    <n v="6.11"/>
    <n v="11383"/>
    <n v="1.2622336046830695E-2"/>
  </r>
  <r>
    <x v="41"/>
    <x v="0"/>
    <n v="1102"/>
    <n v="422"/>
    <n v="410330"/>
    <n v="7.74"/>
    <n v="9480"/>
    <n v="1.6572027392586454E-3"/>
  </r>
  <r>
    <x v="41"/>
    <x v="1"/>
    <n v="1358"/>
    <n v="242"/>
    <n v="342129"/>
    <n v="4.9400000000000004"/>
    <n v="29116"/>
    <n v="3.2619275185675578E-3"/>
  </r>
  <r>
    <x v="41"/>
    <x v="2"/>
    <n v="1077"/>
    <n v="216"/>
    <n v="12447"/>
    <n v="1.8"/>
    <n v="14068"/>
    <n v="6.9173294769824048E-2"/>
  </r>
  <r>
    <x v="41"/>
    <x v="3"/>
    <n v="1596"/>
    <n v="211"/>
    <n v="17380"/>
    <n v="8.64"/>
    <n v="35801"/>
    <n v="7.9689298043728429E-2"/>
  </r>
  <r>
    <x v="42"/>
    <x v="0"/>
    <n v="490"/>
    <n v="29"/>
    <n v="364810"/>
    <n v="1.53"/>
    <n v="49077"/>
    <n v="1.2636715002329981E-3"/>
  </r>
  <r>
    <x v="42"/>
    <x v="1"/>
    <n v="609"/>
    <n v="135"/>
    <n v="373606"/>
    <n v="8.52"/>
    <n v="21453"/>
    <n v="1.268716241173857E-3"/>
  </r>
  <r>
    <x v="42"/>
    <x v="2"/>
    <n v="364"/>
    <n v="72"/>
    <n v="211090"/>
    <n v="5.53"/>
    <n v="21061"/>
    <n v="1.3832962243592781E-3"/>
  </r>
  <r>
    <x v="42"/>
    <x v="3"/>
    <n v="442"/>
    <n v="53"/>
    <n v="441931"/>
    <n v="1.87"/>
    <n v="20059"/>
    <n v="8.8022790888170322E-4"/>
  </r>
  <r>
    <x v="43"/>
    <x v="0"/>
    <n v="1033"/>
    <n v="392"/>
    <n v="282780"/>
    <n v="6.27"/>
    <n v="23140"/>
    <n v="2.2667798288422093E-3"/>
  </r>
  <r>
    <x v="43"/>
    <x v="1"/>
    <n v="988"/>
    <n v="474"/>
    <n v="370070"/>
    <n v="9.4600000000000009"/>
    <n v="23461"/>
    <n v="1.3889264193260734E-3"/>
  </r>
  <r>
    <x v="43"/>
    <x v="2"/>
    <n v="1946"/>
    <n v="270"/>
    <n v="198350"/>
    <n v="7.5"/>
    <n v="11805"/>
    <n v="8.4497101083942528E-3"/>
  </r>
  <r>
    <x v="43"/>
    <x v="3"/>
    <n v="1957"/>
    <n v="490"/>
    <n v="435726"/>
    <n v="4.7300000000000004"/>
    <n v="15969"/>
    <n v="3.3667947287974553E-3"/>
  </r>
  <r>
    <x v="44"/>
    <x v="0"/>
    <n v="559"/>
    <n v="392"/>
    <n v="78789"/>
    <n v="3.19"/>
    <n v="2436"/>
    <n v="2.1195852212872357E-3"/>
  </r>
  <r>
    <x v="44"/>
    <x v="1"/>
    <n v="1307"/>
    <n v="278"/>
    <n v="98596"/>
    <n v="2.4900000000000002"/>
    <n v="47603"/>
    <n v="1.0436528865268368E-2"/>
  </r>
  <r>
    <x v="44"/>
    <x v="2"/>
    <n v="1432"/>
    <n v="425"/>
    <n v="29589"/>
    <n v="4.5"/>
    <n v="42964"/>
    <n v="3.4032917638311531E-2"/>
  </r>
  <r>
    <x v="44"/>
    <x v="3"/>
    <n v="623"/>
    <n v="414"/>
    <n v="290354"/>
    <n v="6.49"/>
    <n v="39923"/>
    <n v="7.1981098934404211E-4"/>
  </r>
  <r>
    <x v="45"/>
    <x v="0"/>
    <n v="198"/>
    <n v="358"/>
    <n v="66682"/>
    <n v="6.73"/>
    <n v="2293"/>
    <n v="-2.3994481269308059E-3"/>
  </r>
  <r>
    <x v="45"/>
    <x v="1"/>
    <n v="198"/>
    <n v="373"/>
    <n v="70707"/>
    <n v="4.83"/>
    <n v="25920"/>
    <n v="-2.4750024750024749E-3"/>
  </r>
  <r>
    <x v="45"/>
    <x v="2"/>
    <n v="353"/>
    <n v="300"/>
    <n v="142507"/>
    <n v="5.3"/>
    <n v="11035"/>
    <n v="3.7191155522184875E-4"/>
  </r>
  <r>
    <x v="45"/>
    <x v="3"/>
    <n v="520"/>
    <n v="375"/>
    <n v="369525"/>
    <n v="6.54"/>
    <n v="20733"/>
    <n v="3.9239564305527366E-4"/>
  </r>
  <r>
    <x v="46"/>
    <x v="0"/>
    <n v="961"/>
    <n v="358"/>
    <n v="62942"/>
    <n v="6.8"/>
    <n v="18693"/>
    <n v="9.5802484827301332E-3"/>
  </r>
  <r>
    <x v="46"/>
    <x v="1"/>
    <n v="1375"/>
    <n v="330"/>
    <n v="377382"/>
    <n v="2.6"/>
    <n v="7875"/>
    <n v="2.7690774864725927E-3"/>
  </r>
  <r>
    <x v="46"/>
    <x v="2"/>
    <n v="1147"/>
    <n v="388"/>
    <n v="333851"/>
    <n v="2.44"/>
    <n v="8471"/>
    <n v="2.2734693021737242E-3"/>
  </r>
  <r>
    <x v="46"/>
    <x v="3"/>
    <n v="1707"/>
    <n v="74"/>
    <n v="270958"/>
    <n v="3.09"/>
    <n v="14090"/>
    <n v="6.0267642955734836E-3"/>
  </r>
  <r>
    <x v="47"/>
    <x v="0"/>
    <n v="1693"/>
    <n v="154"/>
    <n v="445944"/>
    <n v="5.69"/>
    <n v="14216"/>
    <n v="3.4511059684624078E-3"/>
  </r>
  <r>
    <x v="47"/>
    <x v="1"/>
    <n v="833"/>
    <n v="380"/>
    <n v="224830"/>
    <n v="3.86"/>
    <n v="3582"/>
    <n v="2.014855668727483E-3"/>
  </r>
  <r>
    <x v="47"/>
    <x v="2"/>
    <n v="1222"/>
    <n v="274"/>
    <n v="487289"/>
    <n v="3.16"/>
    <n v="32500"/>
    <n v="1.9454574184929272E-3"/>
  </r>
  <r>
    <x v="47"/>
    <x v="3"/>
    <n v="777"/>
    <n v="140"/>
    <n v="11435"/>
    <n v="1.6"/>
    <n v="6832"/>
    <n v="5.5706165282028861E-2"/>
  </r>
  <r>
    <x v="48"/>
    <x v="0"/>
    <n v="1957"/>
    <n v="76"/>
    <n v="447902"/>
    <n v="6.09"/>
    <n v="33381"/>
    <n v="4.1995793722733989E-3"/>
  </r>
  <r>
    <x v="48"/>
    <x v="1"/>
    <n v="405"/>
    <n v="66"/>
    <n v="418696"/>
    <n v="5.59"/>
    <n v="48419"/>
    <n v="8.0965664826031301E-4"/>
  </r>
  <r>
    <x v="48"/>
    <x v="2"/>
    <n v="1581"/>
    <n v="71"/>
    <n v="484364"/>
    <n v="3.55"/>
    <n v="16149"/>
    <n v="3.1174901520344203E-3"/>
  </r>
  <r>
    <x v="48"/>
    <x v="3"/>
    <n v="1035"/>
    <n v="171"/>
    <n v="148477"/>
    <n v="5.21"/>
    <n v="7541"/>
    <n v="5.8190830903102836E-3"/>
  </r>
  <r>
    <x v="49"/>
    <x v="0"/>
    <n v="1765"/>
    <n v="109"/>
    <n v="468301"/>
    <n v="1.82"/>
    <n v="20042"/>
    <n v="3.5361871958419907E-3"/>
  </r>
  <r>
    <x v="49"/>
    <x v="1"/>
    <n v="837"/>
    <n v="430"/>
    <n v="364820"/>
    <n v="4"/>
    <n v="49400"/>
    <n v="1.1156186612576065E-3"/>
  </r>
  <r>
    <x v="49"/>
    <x v="2"/>
    <n v="337"/>
    <n v="68"/>
    <n v="456298"/>
    <n v="7.57"/>
    <n v="4007"/>
    <n v="5.8952701962314107E-4"/>
  </r>
  <r>
    <x v="49"/>
    <x v="3"/>
    <n v="119"/>
    <n v="456"/>
    <n v="82558"/>
    <n v="6.81"/>
    <n v="12174"/>
    <n v="-4.0819787301048958E-3"/>
  </r>
  <r>
    <x v="50"/>
    <x v="4"/>
    <m/>
    <m/>
    <m/>
    <m/>
    <m/>
    <m/>
  </r>
  <r>
    <x v="50"/>
    <x v="4"/>
    <m/>
    <m/>
    <m/>
    <m/>
    <m/>
    <m/>
  </r>
  <r>
    <x v="50"/>
    <x v="4"/>
    <m/>
    <m/>
    <m/>
    <m/>
    <m/>
    <m/>
  </r>
  <r>
    <x v="50"/>
    <x v="4"/>
    <m/>
    <m/>
    <m/>
    <m/>
    <m/>
    <m/>
  </r>
  <r>
    <x v="50"/>
    <x v="4"/>
    <m/>
    <m/>
    <m/>
    <m/>
    <m/>
    <m/>
  </r>
  <r>
    <x v="50"/>
    <x v="4"/>
    <m/>
    <m/>
    <m/>
    <m/>
    <m/>
    <m/>
  </r>
  <r>
    <x v="50"/>
    <x v="4"/>
    <m/>
    <m/>
    <m/>
    <m/>
    <m/>
    <m/>
  </r>
  <r>
    <x v="50"/>
    <x v="4"/>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P220"/>
    <x v="0"/>
    <s v="2024-06-02"/>
    <s v="Story"/>
    <s v="Check out our latest story on instagram!"/>
    <n v="84"/>
    <n v="897"/>
    <n v="85"/>
    <n v="588"/>
    <n v="1.8129251700680271"/>
    <n v="8"/>
    <n v="12"/>
    <s v="#FutureOfDriving,#AnytimeIsTeslaTime"/>
    <s v="#FutureOfDriving"/>
    <s v="CybertruckLaunch"/>
    <x v="0"/>
  </r>
  <r>
    <s v="P058"/>
    <x v="0"/>
    <s v="2025-04-15"/>
    <s v="Reel"/>
    <s v="Check out our latest reel on instagram!"/>
    <n v="103"/>
    <n v="770"/>
    <n v="19"/>
    <n v="1030"/>
    <n v="0.86601941747572819"/>
    <n v="410"/>
    <n v="262"/>
    <s v="#TeslaCoInnovation,#BetterWithTesla"/>
    <s v="#AnytimeIsTeslaTime"/>
    <s v="ModelYCampaign"/>
    <x v="1"/>
  </r>
  <r>
    <s v="P232"/>
    <x v="1"/>
    <s v="2025-04-29"/>
    <s v="Story"/>
    <s v="Check out our latest story on twitter!"/>
    <n v="249"/>
    <n v="592"/>
    <n v="230"/>
    <n v="1494"/>
    <n v="0.7168674698795181"/>
    <n v="1044"/>
    <n v="201"/>
    <s v="#TeslaCoInnovation"/>
    <s v="#TeslaCoInnovation"/>
    <s v="FSDUpdate"/>
    <x v="2"/>
  </r>
  <r>
    <s v="P178"/>
    <x v="0"/>
    <s v="2024-11-07"/>
    <s v="Video"/>
    <s v="Check out our latest video on instagram!"/>
    <n v="129"/>
    <n v="643"/>
    <n v="136"/>
    <n v="1290"/>
    <n v="0.70387596899224802"/>
    <n v="839"/>
    <n v="238"/>
    <s v="#EVRevolution"/>
    <s v="#BetterWithTesla"/>
    <s v="SustainabilityDrive"/>
    <x v="3"/>
  </r>
  <r>
    <s v="P175"/>
    <x v="0"/>
    <s v="2025-01-17"/>
    <s v="Reel"/>
    <s v="Check out our latest reel on instagram!"/>
    <n v="142"/>
    <n v="784"/>
    <n v="183"/>
    <n v="1704"/>
    <n v="0.6508215962441315"/>
    <n v="995"/>
    <n v="154"/>
    <s v="#EVRevolution,#TeslaCoInnovation"/>
    <s v="#TeslaCoInnovation"/>
    <s v="CybertruckLaunch"/>
    <x v="4"/>
  </r>
  <r>
    <s v="P062"/>
    <x v="1"/>
    <s v="2024-11-22"/>
    <s v="Carousel"/>
    <s v="Check out our latest carousel on twitter!"/>
    <n v="53"/>
    <n v="81"/>
    <n v="379"/>
    <n v="954"/>
    <n v="0.53773584905660377"/>
    <n v="7"/>
    <n v="148"/>
    <s v="#TeslaCoInnovation"/>
    <s v="#EVRevolution"/>
    <s v="ModelYCampaign"/>
    <x v="5"/>
  </r>
  <r>
    <s v="P264"/>
    <x v="1"/>
    <s v="2025-01-30"/>
    <s v="Image"/>
    <s v="Check out our latest image on twitter!"/>
    <n v="59"/>
    <n v="163"/>
    <n v="93"/>
    <n v="590"/>
    <n v="0.53389830508474578"/>
    <n v="475"/>
    <n v="293"/>
    <s v="#TeslaCoInnovation"/>
    <s v="#EVRevolution"/>
    <s v="ModelYCampaign"/>
    <x v="6"/>
  </r>
  <r>
    <s v="P143"/>
    <x v="2"/>
    <s v="2024-10-02"/>
    <s v="Carousel"/>
    <s v="Check out our latest carousel on youtube!"/>
    <n v="80"/>
    <n v="362"/>
    <n v="80"/>
    <n v="1040"/>
    <n v="0.50192307692307692"/>
    <n v="349"/>
    <n v="117"/>
    <s v="#EVRevolution"/>
    <s v="#TeslaCoInnovation"/>
    <s v="SustainabilityDrive"/>
    <x v="7"/>
  </r>
  <r>
    <s v="P210"/>
    <x v="2"/>
    <s v="2025-02-19"/>
    <s v="Image"/>
    <s v="Check out our latest image on youtube!"/>
    <n v="257"/>
    <n v="966"/>
    <n v="398"/>
    <n v="3341"/>
    <n v="0.48518407662376534"/>
    <n v="2753"/>
    <n v="287"/>
    <s v="#TeslaCoInnovation"/>
    <s v="#TeslaCoInnovation"/>
    <s v="ModelYCampaign"/>
    <x v="8"/>
  </r>
  <r>
    <s v="P070"/>
    <x v="3"/>
    <s v="2025-04-02"/>
    <s v="Video"/>
    <s v="Check out our latest video on facebook!"/>
    <n v="199"/>
    <n v="772"/>
    <n v="400"/>
    <n v="3582"/>
    <n v="0.38274706867671693"/>
    <n v="2988"/>
    <n v="43"/>
    <s v="#TeslaCoInnovation"/>
    <s v="#TeslaCoInnovation"/>
    <s v="ModelYCampaign"/>
    <x v="9"/>
  </r>
  <r>
    <s v="P214"/>
    <x v="0"/>
    <s v="2024-12-23"/>
    <s v="Image"/>
    <s v="Check out our latest image on instagram!"/>
    <n v="521"/>
    <n v="746"/>
    <n v="315"/>
    <n v="4168"/>
    <n v="0.37955854126679461"/>
    <n v="3399"/>
    <n v="282"/>
    <s v="#FutureOfDriving"/>
    <s v="#EVRevolution"/>
    <s v="SustainabilityDrive"/>
    <x v="10"/>
  </r>
  <r>
    <s v="P053"/>
    <x v="2"/>
    <s v="2025-02-24"/>
    <s v="Carousel"/>
    <s v="Check out our latest carousel on youtube!"/>
    <n v="804"/>
    <n v="639"/>
    <n v="43"/>
    <n v="4020"/>
    <n v="0.36965174129353234"/>
    <n v="3144"/>
    <n v="11"/>
    <s v="#FutureOfDriving"/>
    <s v="#TeslaCoInnovation"/>
    <s v="FSDUpdate"/>
    <x v="11"/>
  </r>
  <r>
    <s v="P102"/>
    <x v="1"/>
    <s v="2024-09-18"/>
    <s v="Reel"/>
    <s v="Check out our latest reel on twitter!"/>
    <n v="1000"/>
    <n v="978"/>
    <n v="162"/>
    <n v="6000"/>
    <n v="0.35666666666666669"/>
    <n v="5221"/>
    <n v="223"/>
    <s v="#EVRevolution"/>
    <s v="#TeslaCoInnovation"/>
    <s v="CybertruckLaunch"/>
    <x v="12"/>
  </r>
  <r>
    <s v="P124"/>
    <x v="2"/>
    <s v="2025-04-06"/>
    <s v="Carousel"/>
    <s v="Check out our latest carousel on youtube!"/>
    <n v="736"/>
    <n v="771"/>
    <n v="225"/>
    <n v="5152"/>
    <n v="0.33618012422360249"/>
    <n v="4706"/>
    <n v="19"/>
    <s v="#FutureOfDriving"/>
    <s v="#FutureOfDriving"/>
    <m/>
    <x v="13"/>
  </r>
  <r>
    <s v="P121"/>
    <x v="0"/>
    <s v="2024-07-29"/>
    <s v="Story"/>
    <s v="Check out our latest story on instagram!"/>
    <n v="498"/>
    <n v="701"/>
    <n v="412"/>
    <n v="4980"/>
    <n v="0.32349397590361445"/>
    <n v="4185"/>
    <n v="185"/>
    <s v="#FutureOfDriving"/>
    <s v="#FutureOfDriving"/>
    <s v="CybertruckLaunch"/>
    <x v="14"/>
  </r>
  <r>
    <s v="P224"/>
    <x v="3"/>
    <s v="2025-05-13"/>
    <s v="Image"/>
    <s v="Check out our latest image on facebook!"/>
    <n v="602"/>
    <n v="594"/>
    <n v="156"/>
    <n v="4214"/>
    <n v="0.32083531086853345"/>
    <n v="3363"/>
    <n v="164"/>
    <s v="#FutureOfDriving"/>
    <s v="#EVRevolution"/>
    <s v="FSDUpdate"/>
    <x v="15"/>
  </r>
  <r>
    <s v="P154"/>
    <x v="0"/>
    <s v="2024-10-09"/>
    <s v="Carousel"/>
    <s v="Check out our latest carousel on instagram!"/>
    <n v="985"/>
    <n v="932"/>
    <n v="287"/>
    <n v="6895"/>
    <n v="0.31965192168237855"/>
    <n v="6757"/>
    <n v="64"/>
    <s v="#EVRevolution"/>
    <s v="#FutureOfDriving"/>
    <s v="SustainabilityDrive"/>
    <x v="16"/>
  </r>
  <r>
    <s v="P119"/>
    <x v="0"/>
    <s v="2025-02-07"/>
    <s v="Reel"/>
    <s v="Check out our latest reel on instagram!"/>
    <n v="1970"/>
    <n v="675"/>
    <n v="478"/>
    <n v="9850"/>
    <n v="0.31705583756345179"/>
    <n v="8924"/>
    <n v="117"/>
    <s v="#FutureOfDriving"/>
    <s v="#FutureOfDriving"/>
    <s v="CybertruckLaunch"/>
    <x v="17"/>
  </r>
  <r>
    <s v="P287"/>
    <x v="0"/>
    <s v="2024-08-15"/>
    <s v="Reel"/>
    <s v="Check out our latest reel on instagram!"/>
    <n v="1164"/>
    <n v="616"/>
    <n v="324"/>
    <n v="6984"/>
    <n v="0.30126002290950743"/>
    <n v="6636"/>
    <n v="82"/>
    <s v="#TeslaCoInnovation"/>
    <s v="#FutureOfDriving"/>
    <s v="SustainabilityDrive"/>
    <x v="18"/>
  </r>
  <r>
    <s v="P204"/>
    <x v="0"/>
    <s v="2025-01-01"/>
    <s v="Carousel"/>
    <s v="Check out our latest carousel on instagram!"/>
    <n v="2234"/>
    <n v="653"/>
    <n v="432"/>
    <n v="11170"/>
    <n v="0.29713518352730528"/>
    <n v="10569"/>
    <n v="198"/>
    <s v="#TeslaCoInnovation"/>
    <s v="#EVRevolution"/>
    <s v="CybertruckLaunch"/>
    <x v="19"/>
  </r>
  <r>
    <s v="P066"/>
    <x v="1"/>
    <s v="2024-07-26"/>
    <s v="Carousel"/>
    <s v="Check out our latest carousel on twitter!"/>
    <n v="432"/>
    <n v="171"/>
    <n v="280"/>
    <n v="3024"/>
    <n v="0.29199735449735448"/>
    <n v="2285"/>
    <n v="184"/>
    <s v="#FutureOfDriving"/>
    <s v="#FutureOfDriving"/>
    <s v="SustainabilityDrive"/>
    <x v="20"/>
  </r>
  <r>
    <s v="P183"/>
    <x v="0"/>
    <s v="2024-12-17"/>
    <s v="Story"/>
    <s v="Check out our latest story on instagram!"/>
    <n v="360"/>
    <n v="590"/>
    <n v="393"/>
    <n v="4680"/>
    <n v="0.28696581196581195"/>
    <n v="4322"/>
    <n v="208"/>
    <s v="#TeslaCoInnovation"/>
    <s v="#TeslaCoInnovation"/>
    <s v="SustainabilityDrive"/>
    <x v="21"/>
  </r>
  <r>
    <s v="P031"/>
    <x v="0"/>
    <s v="2024-12-16"/>
    <s v="Text"/>
    <s v="Check out our latest text on instagram!"/>
    <n v="438"/>
    <n v="153"/>
    <n v="275"/>
    <n v="3066"/>
    <n v="0.28245270711024134"/>
    <n v="2701"/>
    <n v="282"/>
    <s v="#TeslaCoInnovation,#AnytimeIsTeslaTime"/>
    <s v="#TeslaCoInnovation"/>
    <s v="ModelYCampaign"/>
    <x v="22"/>
  </r>
  <r>
    <s v="P093"/>
    <x v="0"/>
    <s v="2024-12-11"/>
    <s v="Video"/>
    <s v="Check out our latest video on instagram!"/>
    <n v="1431"/>
    <n v="951"/>
    <n v="26"/>
    <n v="8586"/>
    <n v="0.28045655718611695"/>
    <n v="8396"/>
    <n v="150"/>
    <s v="#FutureOfDriving"/>
    <s v="#FutureOfDriving"/>
    <s v="FSDUpdate"/>
    <x v="23"/>
  </r>
  <r>
    <s v="P263"/>
    <x v="0"/>
    <s v="2024-08-20"/>
    <s v="Reel"/>
    <s v="Check out our latest reel on instagram!"/>
    <n v="2603"/>
    <n v="690"/>
    <n v="205"/>
    <n v="13015"/>
    <n v="0.26876680752977333"/>
    <n v="12130"/>
    <n v="20"/>
    <s v="#EVRevolution"/>
    <s v="#TeslaCoInnovation"/>
    <m/>
    <x v="24"/>
  </r>
  <r>
    <s v="P248"/>
    <x v="3"/>
    <s v="2025-02-02"/>
    <s v="Story"/>
    <s v="Check out our latest story on facebook!"/>
    <n v="886"/>
    <n v="126"/>
    <n v="153"/>
    <n v="4430"/>
    <n v="0.26297968397291194"/>
    <n v="4037"/>
    <n v="212"/>
    <s v="#FutureOfDriving"/>
    <s v="#TeslaCoInnovation"/>
    <s v="ModelYCampaign"/>
    <x v="25"/>
  </r>
  <r>
    <s v="P244"/>
    <x v="2"/>
    <s v="2024-10-25"/>
    <s v="Video"/>
    <s v="Check out our latest video on youtube!"/>
    <n v="4661"/>
    <n v="935"/>
    <n v="433"/>
    <n v="23305"/>
    <n v="0.25869984981763572"/>
    <n v="22583"/>
    <n v="63"/>
    <s v="#FutureOfDriving"/>
    <s v="#AnytimeIsTeslaTime"/>
    <s v="SustainabilityDrive"/>
    <x v="26"/>
  </r>
  <r>
    <s v="P259"/>
    <x v="3"/>
    <s v="2025-02-10"/>
    <s v="Text"/>
    <s v="Check out our latest text on facebook!"/>
    <n v="562"/>
    <n v="158"/>
    <n v="149"/>
    <n v="3372"/>
    <n v="0.25771055753262156"/>
    <n v="2940"/>
    <n v="93"/>
    <s v="#FutureOfDriving"/>
    <s v="#FutureOfDriving"/>
    <s v="SustainabilityDrive"/>
    <x v="27"/>
  </r>
  <r>
    <s v="P219"/>
    <x v="1"/>
    <s v="2025-01-28"/>
    <s v="Reel"/>
    <s v="Check out our latest reel on twitter!"/>
    <n v="1188"/>
    <n v="470"/>
    <n v="174"/>
    <n v="7128"/>
    <n v="0.25701459034792368"/>
    <n v="6145"/>
    <n v="270"/>
    <s v="#FutureOfDriving"/>
    <s v="#EVRevolution"/>
    <s v="FSDUpdate"/>
    <x v="28"/>
  </r>
  <r>
    <s v="P226"/>
    <x v="0"/>
    <s v="2024-08-07"/>
    <s v="Carousel"/>
    <s v="Check out our latest carousel on instagram!"/>
    <n v="1741"/>
    <n v="164"/>
    <n v="318"/>
    <n v="8705"/>
    <n v="0.25537047673750718"/>
    <n v="8272"/>
    <n v="121"/>
    <s v="#EVRevolution"/>
    <s v="#FutureOfDriving"/>
    <m/>
    <x v="29"/>
  </r>
  <r>
    <s v="P265"/>
    <x v="1"/>
    <s v="2025-02-20"/>
    <s v="Carousel"/>
    <s v="Check out our latest carousel on twitter!"/>
    <n v="1877"/>
    <n v="745"/>
    <n v="225"/>
    <n v="11262"/>
    <n v="0.25279701651571657"/>
    <n v="10967"/>
    <n v="41"/>
    <s v="#TeslaCoInnovation"/>
    <s v="#FutureOfDriving"/>
    <s v="ModelYCampaign"/>
    <x v="30"/>
  </r>
  <r>
    <s v="P239"/>
    <x v="2"/>
    <s v="2025-02-24"/>
    <s v="Text"/>
    <s v="Check out our latest text on youtube!"/>
    <n v="4188"/>
    <n v="942"/>
    <n v="118"/>
    <n v="20940"/>
    <n v="0.25062082139446035"/>
    <n v="20471"/>
    <n v="102"/>
    <s v="#EVRevolution"/>
    <s v="#FutureOfDriving"/>
    <s v="CybertruckLaunch"/>
    <x v="31"/>
  </r>
  <r>
    <s v="P277"/>
    <x v="3"/>
    <s v="2025-04-06"/>
    <s v="Image"/>
    <s v="Check out our latest image on facebook!"/>
    <n v="4236"/>
    <n v="711"/>
    <n v="298"/>
    <n v="21180"/>
    <n v="0.24763928234183191"/>
    <n v="20516"/>
    <n v="238"/>
    <s v="#TeslaCoInnovation"/>
    <s v="#FutureOfDriving"/>
    <s v="CybertruckLaunch"/>
    <x v="32"/>
  </r>
  <r>
    <s v="P297"/>
    <x v="1"/>
    <s v="2024-12-24"/>
    <s v="Text"/>
    <s v="Check out our latest text on twitter!"/>
    <n v="2166"/>
    <n v="354"/>
    <n v="117"/>
    <n v="10830"/>
    <n v="0.24349030470914126"/>
    <n v="10245"/>
    <n v="24"/>
    <s v="#TeslaCoInnovation"/>
    <s v="#EVRevolution"/>
    <s v="FSDUpdate"/>
    <x v="33"/>
  </r>
  <r>
    <s v="P181"/>
    <x v="2"/>
    <s v="2025-03-21"/>
    <s v="Image"/>
    <s v="Check out our latest image on youtube!"/>
    <n v="606"/>
    <n v="789"/>
    <n v="470"/>
    <n v="7878"/>
    <n v="0.23673521198273673"/>
    <n v="7389"/>
    <n v="239"/>
    <s v="#FutureOfDriving"/>
    <s v="#TeslaCoInnovation"/>
    <s v="ModelYCampaign"/>
    <x v="34"/>
  </r>
  <r>
    <s v="P246"/>
    <x v="3"/>
    <s v="2024-10-11"/>
    <s v="Image"/>
    <s v="Check out our latest image on facebook!"/>
    <n v="400"/>
    <n v="680"/>
    <n v="434"/>
    <n v="6400"/>
    <n v="0.23656250000000001"/>
    <n v="5472"/>
    <n v="160"/>
    <s v="#EVRevolution"/>
    <s v="#EVRevolution"/>
    <s v="ModelYCampaign"/>
    <x v="35"/>
  </r>
  <r>
    <s v="P123"/>
    <x v="0"/>
    <s v="2024-06-14"/>
    <s v="Story"/>
    <s v="Check out our latest story on instagram!"/>
    <n v="4363"/>
    <n v="649"/>
    <n v="140"/>
    <n v="21815"/>
    <n v="0.23616777446710979"/>
    <n v="21481"/>
    <n v="157"/>
    <s v="#EVRevolution"/>
    <s v="#TeslaCoInnovation"/>
    <s v="ModelYCampaign"/>
    <x v="36"/>
  </r>
  <r>
    <s v="P120"/>
    <x v="3"/>
    <s v="2024-10-21"/>
    <s v="Story"/>
    <s v="Check out our latest story on facebook!"/>
    <n v="780"/>
    <n v="928"/>
    <n v="301"/>
    <n v="8580"/>
    <n v="0.23414918414918415"/>
    <n v="8081"/>
    <n v="91"/>
    <s v="#TeslaCoInnovation"/>
    <s v="#TeslaCoInnovation"/>
    <s v="SustainabilityDrive"/>
    <x v="37"/>
  </r>
  <r>
    <s v="P141"/>
    <x v="1"/>
    <s v="2024-08-31"/>
    <s v="Image"/>
    <s v="Check out our latest image on twitter!"/>
    <n v="3170"/>
    <n v="857"/>
    <n v="379"/>
    <n v="19020"/>
    <n v="0.2316508937960042"/>
    <n v="18559"/>
    <n v="240"/>
    <s v="#TeslaCoInnovation"/>
    <s v="#FutureOfDriving"/>
    <m/>
    <x v="38"/>
  </r>
  <r>
    <s v="P163"/>
    <x v="0"/>
    <s v="2025-04-08"/>
    <s v="Image"/>
    <s v="Check out our latest image on instagram!"/>
    <n v="4501"/>
    <n v="375"/>
    <n v="323"/>
    <n v="22505"/>
    <n v="0.23101532992668297"/>
    <n v="21836"/>
    <n v="132"/>
    <s v="#EVRevolution"/>
    <s v="#EVRevolution"/>
    <s v="SustainabilityDrive"/>
    <x v="39"/>
  </r>
  <r>
    <s v="P269"/>
    <x v="0"/>
    <s v="2024-11-05"/>
    <s v="Video"/>
    <s v="Check out our latest video on instagram!"/>
    <n v="4561"/>
    <n v="51"/>
    <n v="441"/>
    <n v="22805"/>
    <n v="0.22157421618066214"/>
    <n v="21890"/>
    <n v="45"/>
    <s v="#FutureOfDriving"/>
    <s v="#EVRevolution"/>
    <s v="SustainabilityDrive"/>
    <x v="40"/>
  </r>
  <r>
    <s v="P042"/>
    <x v="2"/>
    <s v="2025-03-05"/>
    <s v="Reel"/>
    <s v="Check out our latest reel on youtube!"/>
    <n v="1543"/>
    <n v="820"/>
    <n v="333"/>
    <n v="12344"/>
    <n v="0.21840570317563188"/>
    <n v="11496"/>
    <n v="241"/>
    <s v="#EVRevolution"/>
    <s v="#TeslaCoInnovation"/>
    <m/>
    <x v="41"/>
  </r>
  <r>
    <s v="P043"/>
    <x v="0"/>
    <s v="2024-12-14"/>
    <s v="Carousel"/>
    <s v="Check out our latest carousel on instagram!"/>
    <n v="2174"/>
    <n v="658"/>
    <n v="15"/>
    <n v="13044"/>
    <n v="0.21826126954921804"/>
    <n v="12206"/>
    <n v="137"/>
    <s v="#TeslaCoInnovation"/>
    <s v="#TeslaCoInnovation"/>
    <s v="FSDUpdate"/>
    <x v="30"/>
  </r>
  <r>
    <s v="P159"/>
    <x v="3"/>
    <s v="2024-11-25"/>
    <s v="Story"/>
    <s v="Check out our latest story on facebook!"/>
    <n v="2120"/>
    <n v="158"/>
    <n v="488"/>
    <n v="12720"/>
    <n v="0.21745283018867925"/>
    <n v="12085"/>
    <n v="17"/>
    <s v="#TeslaCoInnovation"/>
    <s v="#EVRevolution"/>
    <m/>
    <x v="42"/>
  </r>
  <r>
    <s v="P146"/>
    <x v="2"/>
    <s v="2024-06-05"/>
    <s v="Reel"/>
    <s v="Check out our latest reel on youtube!"/>
    <n v="3065"/>
    <n v="772"/>
    <n v="142"/>
    <n v="18390"/>
    <n v="0.21636759108210984"/>
    <n v="17875"/>
    <n v="200"/>
    <s v="#FutureOfDriving"/>
    <s v="#FutureOfDriving"/>
    <s v="CybertruckLaunch"/>
    <x v="43"/>
  </r>
  <r>
    <s v="P029"/>
    <x v="0"/>
    <s v="2025-01-31"/>
    <s v="Carousel"/>
    <s v="Check out our latest carousel on instagram!"/>
    <n v="2566"/>
    <n v="118"/>
    <n v="37"/>
    <n v="12830"/>
    <n v="0.21208106001558846"/>
    <n v="12264"/>
    <n v="221"/>
    <s v="#TeslaCoInnovation"/>
    <s v="#EVRevolution"/>
    <s v="SustainabilityDrive"/>
    <x v="44"/>
  </r>
  <r>
    <s v="P137"/>
    <x v="3"/>
    <s v="2024-07-31"/>
    <s v="Video"/>
    <s v="Check out our latest video on facebook!"/>
    <n v="3008"/>
    <n v="94"/>
    <n v="37"/>
    <n v="15040"/>
    <n v="0.20871010638297871"/>
    <n v="14639"/>
    <n v="277"/>
    <s v="#FutureOfDriving"/>
    <s v="#TeslaCoInnovation"/>
    <m/>
    <x v="45"/>
  </r>
  <r>
    <s v="P087"/>
    <x v="1"/>
    <s v="2024-06-06"/>
    <s v="Video"/>
    <s v="Check out our latest video on twitter!"/>
    <n v="1436"/>
    <n v="765"/>
    <n v="496"/>
    <n v="12924"/>
    <n v="0.20868152274837512"/>
    <n v="12701"/>
    <n v="197"/>
    <s v="#TeslaCoInnovation"/>
    <s v="#TeslaCoInnovation"/>
    <m/>
    <x v="46"/>
  </r>
  <r>
    <s v="P271"/>
    <x v="0"/>
    <s v="2024-10-17"/>
    <s v="Video"/>
    <s v="Check out our latest video on instagram!"/>
    <n v="3575"/>
    <n v="749"/>
    <n v="111"/>
    <n v="21450"/>
    <n v="0.20675990675990677"/>
    <n v="20785"/>
    <n v="195"/>
    <s v="#TeslaCoInnovation"/>
    <s v="#FutureOfDriving"/>
    <s v="SustainabilityDrive"/>
    <x v="47"/>
  </r>
  <r>
    <s v="P077"/>
    <x v="3"/>
    <s v="2025-03-04"/>
    <s v="Story"/>
    <s v="Check out our latest story on facebook!"/>
    <n v="1249"/>
    <n v="116"/>
    <n v="420"/>
    <n v="8743"/>
    <n v="0.20416333066453163"/>
    <n v="8538"/>
    <n v="63"/>
    <s v="#TeslaCoInnovation"/>
    <s v="#TeslaCoInnovation"/>
    <s v="FSDUpdate"/>
    <x v="48"/>
  </r>
  <r>
    <s v="P136"/>
    <x v="0"/>
    <s v="2024-07-11"/>
    <s v="Text"/>
    <s v="Check out our latest text on instagram!"/>
    <n v="3134"/>
    <n v="888"/>
    <n v="444"/>
    <n v="21938"/>
    <n v="0.20357370772176134"/>
    <n v="21337"/>
    <n v="130"/>
    <s v="#FutureOfDriving"/>
    <s v="#FutureOfDriving"/>
    <s v="ModelYCampaign"/>
    <x v="49"/>
  </r>
  <r>
    <s v="P258"/>
    <x v="0"/>
    <s v="2024-08-05"/>
    <s v="Story"/>
    <s v="Check out our latest story on instagram!"/>
    <n v="3601"/>
    <n v="695"/>
    <n v="75"/>
    <n v="21606"/>
    <n v="0.2023049153013052"/>
    <n v="21454"/>
    <n v="172"/>
    <s v="#TeslaCoInnovation"/>
    <s v="#TeslaCoInnovation"/>
    <s v="SustainabilityDrive"/>
    <x v="50"/>
  </r>
  <r>
    <s v="P276"/>
    <x v="1"/>
    <s v="2024-06-07"/>
    <s v="Carousel"/>
    <s v="Check out our latest carousel on twitter!"/>
    <n v="1556"/>
    <n v="195"/>
    <n v="131"/>
    <n v="9336"/>
    <n v="0.2015852613538989"/>
    <n v="8875"/>
    <n v="137"/>
    <s v="#EVRevolution,#BetterWithTesla"/>
    <s v="#TeslaCoInnovation"/>
    <m/>
    <x v="51"/>
  </r>
  <r>
    <s v="P148"/>
    <x v="0"/>
    <s v="2025-04-15"/>
    <s v="Video"/>
    <s v="Check out our latest video on instagram!"/>
    <n v="4133"/>
    <n v="466"/>
    <n v="327"/>
    <n v="24798"/>
    <n v="0.19864505202032423"/>
    <n v="24620"/>
    <n v="176"/>
    <s v="#FutureOfDriving"/>
    <s v="#TeslaCoInnovation"/>
    <s v="ModelYCampaign"/>
    <x v="52"/>
  </r>
  <r>
    <s v="P198"/>
    <x v="1"/>
    <s v="2024-09-14"/>
    <s v="Image"/>
    <s v="Check out our latest image on twitter!"/>
    <n v="1048"/>
    <n v="374"/>
    <n v="450"/>
    <n v="9432"/>
    <n v="0.19847328244274809"/>
    <n v="8882"/>
    <n v="158"/>
    <s v="#EVRevolution"/>
    <s v="#FutureOfDriving"/>
    <s v="SustainabilityDrive"/>
    <x v="53"/>
  </r>
  <r>
    <s v="P152"/>
    <x v="3"/>
    <s v="2025-04-22"/>
    <s v="Image"/>
    <s v="Check out our latest image on facebook!"/>
    <n v="4804"/>
    <n v="550"/>
    <n v="270"/>
    <n v="28824"/>
    <n v="0.19511518179295032"/>
    <n v="28370"/>
    <n v="47"/>
    <s v="#FutureOfDriving"/>
    <s v="#TeslaCoInnovation"/>
    <s v="FSDUpdate"/>
    <x v="54"/>
  </r>
  <r>
    <s v="P286"/>
    <x v="2"/>
    <s v="2024-09-25"/>
    <s v="Video"/>
    <s v="Check out our latest video on youtube!"/>
    <n v="3389"/>
    <n v="344"/>
    <n v="229"/>
    <n v="20334"/>
    <n v="0.19484607062063539"/>
    <n v="19443"/>
    <n v="228"/>
    <s v="#TeslaCoInnovation"/>
    <s v="#EVRevolution"/>
    <s v="CybertruckLaunch"/>
    <x v="55"/>
  </r>
  <r>
    <s v="P068"/>
    <x v="0"/>
    <s v="2024-12-08"/>
    <s v="Story"/>
    <s v="Check out our latest story on instagram!"/>
    <n v="2610"/>
    <n v="126"/>
    <n v="288"/>
    <n v="15660"/>
    <n v="0.19310344827586207"/>
    <n v="15145"/>
    <n v="73"/>
    <s v="#TeslaCoInnovation"/>
    <s v="#BetterWithTesla"/>
    <s v="SustainabilityDrive"/>
    <x v="56"/>
  </r>
  <r>
    <s v="P085"/>
    <x v="0"/>
    <s v="2025-04-19"/>
    <s v="Image"/>
    <s v="Check out our latest image on instagram!"/>
    <n v="4177"/>
    <n v="569"/>
    <n v="55"/>
    <n v="25062"/>
    <n v="0.19156491900087783"/>
    <n v="24847"/>
    <n v="230"/>
    <s v="#EVRevolution"/>
    <s v="#FutureOfDriving"/>
    <m/>
    <x v="57"/>
  </r>
  <r>
    <s v="P032"/>
    <x v="1"/>
    <s v="2024-07-31"/>
    <s v="Carousel"/>
    <s v="Check out our latest carousel on twitter!"/>
    <n v="2278"/>
    <n v="10"/>
    <n v="321"/>
    <n v="13668"/>
    <n v="0.19088381621305239"/>
    <n v="12676"/>
    <n v="275"/>
    <s v="#EVRevolution,#TeslaCoInnovation,#AnytimeIsTeslaTime"/>
    <s v="#EVRevolution"/>
    <s v="FSDUpdate"/>
    <x v="58"/>
  </r>
  <r>
    <s v="P218"/>
    <x v="3"/>
    <s v="2024-06-11"/>
    <s v="Carousel"/>
    <s v="Check out our latest carousel on facebook!"/>
    <n v="1869"/>
    <n v="453"/>
    <n v="490"/>
    <n v="14952"/>
    <n v="0.18806848582129482"/>
    <n v="14309"/>
    <n v="275"/>
    <s v="#TeslaCoInnovation"/>
    <s v="#FutureOfDriving"/>
    <s v="CybertruckLaunch"/>
    <x v="59"/>
  </r>
  <r>
    <s v="P211"/>
    <x v="1"/>
    <s v="2024-07-18"/>
    <s v="Carousel"/>
    <s v="Check out our latest carousel on twitter!"/>
    <n v="2120"/>
    <n v="38"/>
    <n v="212"/>
    <n v="12720"/>
    <n v="0.18632075471698112"/>
    <n v="12564"/>
    <n v="21"/>
    <s v="#TeslaCoInnovation"/>
    <s v="#TeslaCoInnovation"/>
    <s v="FSDUpdate"/>
    <x v="60"/>
  </r>
  <r>
    <s v="P242"/>
    <x v="3"/>
    <s v="2024-07-07"/>
    <s v="Reel"/>
    <s v="Check out our latest reel on facebook!"/>
    <n v="4767"/>
    <n v="190"/>
    <n v="340"/>
    <n v="28602"/>
    <n v="0.18519683938186141"/>
    <n v="28044"/>
    <n v="210"/>
    <s v="#FutureOfDriving"/>
    <s v="#TeslaCoInnovation"/>
    <s v="FSDUpdate"/>
    <x v="61"/>
  </r>
  <r>
    <s v="P041"/>
    <x v="0"/>
    <s v="2025-03-08"/>
    <s v="Reel"/>
    <s v="Check out our latest reel on instagram!"/>
    <n v="456"/>
    <n v="629"/>
    <n v="428"/>
    <n v="8208"/>
    <n v="0.18433235867446393"/>
    <n v="7377"/>
    <n v="205"/>
    <s v="#FutureOfDriving"/>
    <s v="#EVRevolution"/>
    <s v="FSDUpdate"/>
    <x v="62"/>
  </r>
  <r>
    <s v="P294"/>
    <x v="3"/>
    <s v="2024-06-19"/>
    <s v="Carousel"/>
    <s v="Check out our latest carousel on facebook!"/>
    <n v="4731"/>
    <n v="173"/>
    <n v="276"/>
    <n v="28386"/>
    <n v="0.18248432325794406"/>
    <n v="28185"/>
    <n v="89"/>
    <s v="#EVRevolution"/>
    <s v="#EVRevolution"/>
    <m/>
    <x v="63"/>
  </r>
  <r>
    <s v="P006"/>
    <x v="3"/>
    <s v="2024-10-31"/>
    <s v="Carousel"/>
    <s v="Check out our latest carousel on facebook!"/>
    <n v="2945"/>
    <n v="930"/>
    <n v="355"/>
    <n v="23560"/>
    <n v="0.17954159592529711"/>
    <n v="23275"/>
    <n v="256"/>
    <s v="#EVRevolution"/>
    <s v="#TeslaCoInnovation"/>
    <s v="CybertruckLaunch"/>
    <x v="64"/>
  </r>
  <r>
    <s v="P153"/>
    <x v="1"/>
    <s v="2025-01-01"/>
    <s v="Video"/>
    <s v="Check out our latest video on twitter!"/>
    <n v="754"/>
    <n v="197"/>
    <n v="257"/>
    <n v="6786"/>
    <n v="0.17801355732390214"/>
    <n v="6221"/>
    <n v="212"/>
    <s v="#EVRevolution"/>
    <s v="#AnytimeIsTeslaTime"/>
    <s v="FSDUpdate"/>
    <x v="65"/>
  </r>
  <r>
    <s v="P037"/>
    <x v="3"/>
    <s v="2025-01-06"/>
    <s v="Carousel"/>
    <s v="Check out our latest carousel on facebook!"/>
    <n v="3024"/>
    <n v="925"/>
    <n v="350"/>
    <n v="24192"/>
    <n v="0.17770337301587302"/>
    <n v="23518"/>
    <n v="36"/>
    <s v="#EVRevolution"/>
    <s v="#TeslaCoInnovation"/>
    <m/>
    <x v="66"/>
  </r>
  <r>
    <s v="P241"/>
    <x v="3"/>
    <s v="2025-01-18"/>
    <s v="Story"/>
    <s v="Check out our latest story on facebook!"/>
    <n v="4321"/>
    <n v="874"/>
    <n v="172"/>
    <n v="30247"/>
    <n v="0.17743908486792079"/>
    <n v="29254"/>
    <n v="122"/>
    <s v="#FutureOfDriving"/>
    <s v="#TeslaCoInnovation"/>
    <s v="FSDUpdate"/>
    <x v="67"/>
  </r>
  <r>
    <s v="P112"/>
    <x v="1"/>
    <s v="2024-10-05"/>
    <s v="Story"/>
    <s v="Check out our latest story on twitter!"/>
    <n v="1957"/>
    <n v="877"/>
    <n v="238"/>
    <n v="17613"/>
    <n v="0.17441662408448305"/>
    <n v="16865"/>
    <n v="297"/>
    <s v="#TeslaCoInnovation"/>
    <s v="#FutureOfDriving"/>
    <m/>
    <x v="68"/>
  </r>
  <r>
    <s v="P129"/>
    <x v="1"/>
    <s v="2024-07-21"/>
    <s v="Text"/>
    <s v="Check out our latest text on twitter!"/>
    <n v="2147"/>
    <n v="430"/>
    <n v="393"/>
    <n v="17176"/>
    <n v="0.17291569632044715"/>
    <n v="16483"/>
    <n v="170"/>
    <s v="#TeslaCoInnovation"/>
    <s v="#FutureOfDriving"/>
    <s v="ModelYCampaign"/>
    <x v="69"/>
  </r>
  <r>
    <s v="P028"/>
    <x v="0"/>
    <s v="2025-03-04"/>
    <s v="Video"/>
    <s v="Check out our latest video on instagram!"/>
    <n v="432"/>
    <n v="624"/>
    <n v="123"/>
    <n v="6912"/>
    <n v="0.17057291666666666"/>
    <n v="6259"/>
    <n v="79"/>
    <s v="#EVRevolution"/>
    <s v="#EVRevolution"/>
    <s v="ModelYCampaign"/>
    <x v="70"/>
  </r>
  <r>
    <s v="P046"/>
    <x v="1"/>
    <s v="2025-05-02"/>
    <s v="Video"/>
    <s v="Check out our latest video on twitter!"/>
    <n v="1108"/>
    <n v="177"/>
    <n v="212"/>
    <n v="8864"/>
    <n v="0.16888537906137185"/>
    <n v="8710"/>
    <n v="97"/>
    <s v="#FutureOfDriving"/>
    <s v="#EVRevolution"/>
    <s v="SustainabilityDrive"/>
    <x v="71"/>
  </r>
  <r>
    <s v="P089"/>
    <x v="1"/>
    <s v="2025-01-10"/>
    <s v="Image"/>
    <s v="Check out our latest image on twitter!"/>
    <n v="2214"/>
    <n v="249"/>
    <n v="152"/>
    <n v="15498"/>
    <n v="0.16873144921925409"/>
    <n v="14800"/>
    <n v="180"/>
    <s v="#TeslaCoInnovation"/>
    <s v="#EVRevolution"/>
    <s v="FSDUpdate"/>
    <x v="72"/>
  </r>
  <r>
    <s v="P094"/>
    <x v="0"/>
    <s v="2024-11-07"/>
    <s v="Image"/>
    <s v="Check out our latest image on instagram!"/>
    <n v="2647"/>
    <n v="304"/>
    <n v="170"/>
    <n v="18529"/>
    <n v="0.16843866371633656"/>
    <n v="17841"/>
    <n v="46"/>
    <s v="#TeslaCoInnovation"/>
    <s v="#EVRevolution"/>
    <s v="SustainabilityDrive"/>
    <x v="73"/>
  </r>
  <r>
    <s v="P116"/>
    <x v="2"/>
    <s v="2025-03-18"/>
    <s v="Reel"/>
    <s v="Check out our latest reel on youtube!"/>
    <n v="3704"/>
    <n v="186"/>
    <n v="458"/>
    <n v="25928"/>
    <n v="0.16769515581610614"/>
    <n v="25081"/>
    <n v="131"/>
    <s v="#TeslaCoInnovation"/>
    <s v="#FutureOfDriving"/>
    <s v="SustainabilityDrive"/>
    <x v="74"/>
  </r>
  <r>
    <s v="P275"/>
    <x v="3"/>
    <s v="2024-08-05"/>
    <s v="Reel"/>
    <s v="Check out our latest reel on facebook!"/>
    <n v="1741"/>
    <n v="831"/>
    <n v="345"/>
    <n v="17410"/>
    <n v="0.16754738655944859"/>
    <n v="16844"/>
    <n v="58"/>
    <s v="#TeslaCoInnovation"/>
    <s v="#TeslaCoInnovation"/>
    <m/>
    <x v="75"/>
  </r>
  <r>
    <s v="P109"/>
    <x v="1"/>
    <s v="2024-08-08"/>
    <s v="Story"/>
    <s v="Check out our latest story on twitter!"/>
    <n v="3649"/>
    <n v="215"/>
    <n v="413"/>
    <n v="25543"/>
    <n v="0.16744313510550835"/>
    <n v="24963"/>
    <n v="167"/>
    <s v="#FutureOfDriving"/>
    <s v="#TeslaCoInnovation"/>
    <s v="SustainabilityDrive"/>
    <x v="76"/>
  </r>
  <r>
    <s v="P047"/>
    <x v="1"/>
    <s v="2025-02-24"/>
    <s v="Carousel"/>
    <s v="Check out our latest carousel on twitter!"/>
    <n v="2704"/>
    <n v="752"/>
    <n v="153"/>
    <n v="21632"/>
    <n v="0.16683616863905326"/>
    <n v="20792"/>
    <n v="127"/>
    <s v="#EVRevolution"/>
    <s v="#EVRevolution"/>
    <s v="ModelYCampaign"/>
    <x v="77"/>
  </r>
  <r>
    <s v="P295"/>
    <x v="1"/>
    <s v="2025-05-06"/>
    <s v="Image"/>
    <s v="Check out our latest image on twitter!"/>
    <n v="1952"/>
    <n v="344"/>
    <n v="287"/>
    <n v="15616"/>
    <n v="0.16540727459016394"/>
    <n v="15403"/>
    <n v="235"/>
    <s v="#FutureOfDriving"/>
    <s v="#FutureOfDriving"/>
    <m/>
    <x v="78"/>
  </r>
  <r>
    <s v="P054"/>
    <x v="2"/>
    <s v="2025-03-13"/>
    <s v="Carousel"/>
    <s v="Check out our latest carousel on youtube!"/>
    <n v="1686"/>
    <n v="904"/>
    <n v="472"/>
    <n v="18546"/>
    <n v="0.16510298716704411"/>
    <n v="18171"/>
    <n v="52"/>
    <s v="#TeslaCoInnovation"/>
    <s v="#TeslaCoInnovation"/>
    <s v="FSDUpdate"/>
    <x v="79"/>
  </r>
  <r>
    <s v="P060"/>
    <x v="0"/>
    <s v="2025-01-28"/>
    <s v="Video"/>
    <s v="Check out our latest video on instagram!"/>
    <n v="904"/>
    <n v="973"/>
    <n v="63"/>
    <n v="11752"/>
    <n v="0.1650782845473111"/>
    <n v="11580"/>
    <n v="84"/>
    <s v="#FutureOfDriving,#TeslaCoInnovation,#AnytimeIsTeslaTime"/>
    <s v="#TeslaCoInnovation"/>
    <s v="FSDUpdate"/>
    <x v="80"/>
  </r>
  <r>
    <s v="P083"/>
    <x v="2"/>
    <s v="2024-10-15"/>
    <s v="Video"/>
    <s v="Check out our latest video on youtube!"/>
    <n v="1094"/>
    <n v="472"/>
    <n v="21"/>
    <n v="9846"/>
    <n v="0.16118220597196831"/>
    <n v="9609"/>
    <n v="112"/>
    <s v="#EVRevolution"/>
    <s v="#TeslaCoInnovation"/>
    <m/>
    <x v="81"/>
  </r>
  <r>
    <s v="P138"/>
    <x v="1"/>
    <s v="2025-03-29"/>
    <s v="Image"/>
    <s v="Check out our latest image on twitter!"/>
    <n v="305"/>
    <n v="187"/>
    <n v="243"/>
    <n v="4575"/>
    <n v="0.16065573770491803"/>
    <n v="3704"/>
    <n v="234"/>
    <s v="#FutureOfDriving"/>
    <s v="#TeslaCoInnovation"/>
    <s v="SustainabilityDrive"/>
    <x v="82"/>
  </r>
  <r>
    <s v="P221"/>
    <x v="3"/>
    <s v="2025-03-23"/>
    <s v="Video"/>
    <s v="Check out our latest video on facebook!"/>
    <n v="4453"/>
    <n v="111"/>
    <n v="420"/>
    <n v="31171"/>
    <n v="0.15989220750056141"/>
    <n v="30565"/>
    <n v="23"/>
    <s v="#FutureOfDriving"/>
    <s v="#FutureOfDriving"/>
    <s v="CybertruckLaunch"/>
    <x v="83"/>
  </r>
  <r>
    <s v="P252"/>
    <x v="3"/>
    <s v="2025-04-28"/>
    <s v="Carousel"/>
    <s v="Check out our latest carousel on facebook!"/>
    <n v="2089"/>
    <n v="476"/>
    <n v="69"/>
    <n v="16712"/>
    <n v="0.15761129727142173"/>
    <n v="16309"/>
    <n v="64"/>
    <s v="#EVRevolution,#BetterWithTesla"/>
    <s v="#EVRevolution"/>
    <s v="SustainabilityDrive"/>
    <x v="84"/>
  </r>
  <r>
    <s v="P052"/>
    <x v="3"/>
    <s v="2025-01-03"/>
    <s v="Image"/>
    <s v="Check out our latest image on facebook!"/>
    <n v="947"/>
    <n v="338"/>
    <n v="350"/>
    <n v="10417"/>
    <n v="0.1569549774407219"/>
    <n v="9730"/>
    <n v="34"/>
    <s v="#FutureOfDriving"/>
    <s v="#FutureOfDriving"/>
    <s v="FSDUpdate"/>
    <x v="85"/>
  </r>
  <r>
    <s v="P140"/>
    <x v="3"/>
    <s v="2024-07-15"/>
    <s v="Image"/>
    <s v="Check out our latest image on facebook!"/>
    <n v="2291"/>
    <n v="78"/>
    <n v="485"/>
    <n v="18328"/>
    <n v="0.15571802706241816"/>
    <n v="18101"/>
    <n v="10"/>
    <s v="#TeslaCoInnovation"/>
    <s v="#TeslaCoInnovation"/>
    <s v="SustainabilityDrive"/>
    <x v="86"/>
  </r>
  <r>
    <s v="P165"/>
    <x v="1"/>
    <s v="2024-12-11"/>
    <s v="Text"/>
    <s v="Check out our latest text on twitter!"/>
    <n v="3239"/>
    <n v="43"/>
    <n v="211"/>
    <n v="22673"/>
    <n v="0.15405989502933004"/>
    <n v="22171"/>
    <n v="230"/>
    <s v="#EVRevolution"/>
    <s v="#FutureOfDriving"/>
    <m/>
    <x v="87"/>
  </r>
  <r>
    <s v="P164"/>
    <x v="2"/>
    <s v="2025-02-27"/>
    <s v="Text"/>
    <s v="Check out our latest text on youtube!"/>
    <n v="4934"/>
    <n v="971"/>
    <n v="156"/>
    <n v="39472"/>
    <n v="0.15355188488042157"/>
    <n v="39025"/>
    <n v="169"/>
    <s v="#TeslaCoInnovation"/>
    <s v="#TeslaCoInnovation"/>
    <s v="SustainabilityDrive"/>
    <x v="88"/>
  </r>
  <r>
    <s v="P262"/>
    <x v="2"/>
    <s v="2025-01-18"/>
    <s v="Image"/>
    <s v="Check out our latest image on youtube!"/>
    <n v="1206"/>
    <n v="238"/>
    <n v="36"/>
    <n v="9648"/>
    <n v="0.15339966832504145"/>
    <n v="9417"/>
    <n v="237"/>
    <s v="#EVRevolution"/>
    <s v="#AnytimeIsTeslaTime"/>
    <s v="SustainabilityDrive"/>
    <x v="89"/>
  </r>
  <r>
    <s v="P147"/>
    <x v="0"/>
    <s v="2024-10-21"/>
    <s v="Reel"/>
    <s v="Check out our latest reel on instagram!"/>
    <n v="3256"/>
    <n v="459"/>
    <n v="266"/>
    <n v="26048"/>
    <n v="0.15283323095823095"/>
    <n v="25529"/>
    <n v="143"/>
    <s v="#FutureOfDriving"/>
    <s v="#EVRevolution"/>
    <s v="FSDUpdate"/>
    <x v="90"/>
  </r>
  <r>
    <s v="P004"/>
    <x v="0"/>
    <s v="2024-08-12"/>
    <s v="Story"/>
    <s v="Check out our latest story on instagram!"/>
    <n v="2404"/>
    <n v="363"/>
    <n v="138"/>
    <n v="19232"/>
    <n v="0.15105033277870217"/>
    <n v="18636"/>
    <n v="128"/>
    <s v="#EVRevolution"/>
    <s v="#FutureOfDriving"/>
    <s v="FSDUpdate"/>
    <x v="91"/>
  </r>
  <r>
    <s v="P014"/>
    <x v="3"/>
    <s v="2025-02-16"/>
    <s v="Story"/>
    <s v="Check out our latest story on facebook!"/>
    <n v="4242"/>
    <n v="555"/>
    <n v="131"/>
    <n v="33936"/>
    <n v="0.14521452145214522"/>
    <n v="33802"/>
    <n v="265"/>
    <s v="#FutureOfDriving"/>
    <s v="#FutureOfDriving"/>
    <s v="FSDUpdate"/>
    <x v="92"/>
  </r>
  <r>
    <s v="P192"/>
    <x v="0"/>
    <s v="2024-11-29"/>
    <s v="Video"/>
    <s v="Check out our latest video on instagram!"/>
    <n v="1176"/>
    <n v="464"/>
    <n v="394"/>
    <n v="14112"/>
    <n v="0.1441326530612245"/>
    <n v="13588"/>
    <n v="272"/>
    <s v="#FutureOfDriving"/>
    <s v="#EVRevolution"/>
    <s v="SustainabilityDrive"/>
    <x v="93"/>
  </r>
  <r>
    <s v="P173"/>
    <x v="1"/>
    <s v="2024-12-05"/>
    <s v="Video"/>
    <s v="Check out our latest video on twitter!"/>
    <n v="1330"/>
    <n v="925"/>
    <n v="35"/>
    <n v="15960"/>
    <n v="0.14348370927318296"/>
    <n v="15379"/>
    <n v="229"/>
    <s v="#FutureOfDriving"/>
    <s v="#BetterWithTesla"/>
    <m/>
    <x v="94"/>
  </r>
  <r>
    <s v="P166"/>
    <x v="1"/>
    <s v="2025-02-16"/>
    <s v="Reel"/>
    <s v="Check out our latest reel on twitter!"/>
    <n v="1076"/>
    <n v="313"/>
    <n v="306"/>
    <n v="11836"/>
    <n v="0.14320716458262928"/>
    <n v="11596"/>
    <n v="104"/>
    <s v="#TeslaCoInnovation,#AnytimeIsTeslaTime"/>
    <s v="#FutureOfDriving"/>
    <s v="ModelYCampaign"/>
    <x v="95"/>
  </r>
  <r>
    <s v="P207"/>
    <x v="1"/>
    <s v="2024-12-29"/>
    <s v="Carousel"/>
    <s v="Check out our latest carousel on twitter!"/>
    <n v="4274"/>
    <n v="340"/>
    <n v="281"/>
    <n v="34192"/>
    <n v="0.14316214319138981"/>
    <n v="33446"/>
    <n v="129"/>
    <s v="#FutureOfDriving"/>
    <s v="#TeslaCoInnovation"/>
    <s v="SustainabilityDrive"/>
    <x v="96"/>
  </r>
  <r>
    <s v="P061"/>
    <x v="1"/>
    <s v="2024-09-05"/>
    <s v="Video"/>
    <s v="Check out our latest video on twitter!"/>
    <n v="4886"/>
    <n v="983"/>
    <n v="409"/>
    <n v="43974"/>
    <n v="0.14276618001546368"/>
    <n v="43239"/>
    <n v="65"/>
    <s v="#FutureOfDriving"/>
    <s v="#EVRevolution"/>
    <s v="FSDUpdate"/>
    <x v="97"/>
  </r>
  <r>
    <s v="P125"/>
    <x v="1"/>
    <s v="2024-09-08"/>
    <s v="Carousel"/>
    <s v="Check out our latest carousel on twitter!"/>
    <n v="3811"/>
    <n v="866"/>
    <n v="216"/>
    <n v="34299"/>
    <n v="0.14265722032712325"/>
    <n v="34088"/>
    <n v="233"/>
    <s v="#EVRevolution"/>
    <s v="#TeslaCoInnovation"/>
    <m/>
    <x v="98"/>
  </r>
  <r>
    <s v="P272"/>
    <x v="0"/>
    <s v="2025-03-27"/>
    <s v="Text"/>
    <s v="Check out our latest text on instagram!"/>
    <n v="4941"/>
    <n v="414"/>
    <n v="266"/>
    <n v="39528"/>
    <n v="0.14220299534507186"/>
    <n v="39154"/>
    <n v="217"/>
    <s v="#FutureOfDriving"/>
    <s v="#EVRevolution"/>
    <s v="FSDUpdate"/>
    <x v="99"/>
  </r>
  <r>
    <s v="P040"/>
    <x v="1"/>
    <s v="2025-03-07"/>
    <s v="Image"/>
    <s v="Check out our latest image on twitter!"/>
    <n v="4750"/>
    <n v="151"/>
    <n v="415"/>
    <n v="38000"/>
    <n v="0.13989473684210527"/>
    <n v="37792"/>
    <n v="299"/>
    <s v="#EVRevolution"/>
    <s v="#FutureOfDriving"/>
    <s v="ModelYCampaign"/>
    <x v="100"/>
  </r>
  <r>
    <s v="P299"/>
    <x v="3"/>
    <s v="2024-08-26"/>
    <s v="Image"/>
    <s v="Check out our latest image on facebook!"/>
    <n v="2581"/>
    <n v="517"/>
    <n v="117"/>
    <n v="23229"/>
    <n v="0.13840458048129492"/>
    <n v="22331"/>
    <n v="70"/>
    <s v="#EVRevolution"/>
    <s v="#EVRevolution"/>
    <s v="ModelYCampaign"/>
    <x v="101"/>
  </r>
  <r>
    <s v="P174"/>
    <x v="3"/>
    <s v="2024-06-22"/>
    <s v="Text"/>
    <s v="Check out our latest text on facebook!"/>
    <n v="3828"/>
    <n v="148"/>
    <n v="253"/>
    <n v="30624"/>
    <n v="0.13809430512016718"/>
    <n v="30229"/>
    <n v="235"/>
    <s v="#TeslaCoInnovation"/>
    <s v="#FutureOfDriving"/>
    <s v="FSDUpdate"/>
    <x v="102"/>
  </r>
  <r>
    <s v="P104"/>
    <x v="2"/>
    <s v="2025-03-23"/>
    <s v="Story"/>
    <s v="Check out our latest story on youtube!"/>
    <n v="3655"/>
    <n v="568"/>
    <n v="286"/>
    <n v="32895"/>
    <n v="0.13707250341997265"/>
    <n v="32015"/>
    <n v="199"/>
    <s v="#FutureOfDriving"/>
    <s v="#FutureOfDriving"/>
    <s v="CybertruckLaunch"/>
    <x v="103"/>
  </r>
  <r>
    <s v="P195"/>
    <x v="0"/>
    <s v="2024-08-15"/>
    <s v="Carousel"/>
    <s v="Check out our latest carousel on instagram!"/>
    <n v="914"/>
    <n v="464"/>
    <n v="246"/>
    <n v="11882"/>
    <n v="0.13667732704931829"/>
    <n v="11500"/>
    <n v="282"/>
    <s v="#TeslaCoInnovation"/>
    <s v="#FutureOfDriving"/>
    <s v="SustainabilityDrive"/>
    <x v="104"/>
  </r>
  <r>
    <s v="P184"/>
    <x v="1"/>
    <s v="2024-07-28"/>
    <s v="Image"/>
    <s v="Check out our latest image on twitter!"/>
    <n v="3215"/>
    <n v="960"/>
    <n v="202"/>
    <n v="32150"/>
    <n v="0.13614307931570763"/>
    <n v="31404"/>
    <n v="251"/>
    <s v="#TeslaCoInnovation"/>
    <s v="#TeslaCoInnovation"/>
    <m/>
    <x v="105"/>
  </r>
  <r>
    <s v="P092"/>
    <x v="1"/>
    <s v="2024-10-21"/>
    <s v="Story"/>
    <s v="Check out our latest story on twitter!"/>
    <n v="3801"/>
    <n v="967"/>
    <n v="401"/>
    <n v="38010"/>
    <n v="0.13599052880820836"/>
    <n v="37625"/>
    <n v="236"/>
    <s v="#TeslaCoInnovation"/>
    <s v="#AnytimeIsTeslaTime"/>
    <s v="ModelYCampaign"/>
    <x v="106"/>
  </r>
  <r>
    <s v="P088"/>
    <x v="3"/>
    <s v="2024-07-07"/>
    <s v="Story"/>
    <s v="Check out our latest story on facebook!"/>
    <n v="302"/>
    <n v="47"/>
    <n v="430"/>
    <n v="5738"/>
    <n v="0.13576158940397351"/>
    <n v="4890"/>
    <n v="25"/>
    <s v="#FutureOfDriving"/>
    <s v="#FutureOfDriving"/>
    <s v="FSDUpdate"/>
    <x v="107"/>
  </r>
  <r>
    <s v="P285"/>
    <x v="2"/>
    <s v="2024-07-18"/>
    <s v="Text"/>
    <s v="Check out our latest text on youtube!"/>
    <n v="4021"/>
    <n v="794"/>
    <n v="77"/>
    <n v="36189"/>
    <n v="0.13517919809886983"/>
    <n v="35505"/>
    <n v="174"/>
    <s v="#EVRevolution"/>
    <s v="#FutureOfDriving"/>
    <s v="ModelYCampaign"/>
    <x v="108"/>
  </r>
  <r>
    <s v="P050"/>
    <x v="2"/>
    <s v="2024-07-03"/>
    <s v="Story"/>
    <s v="Check out our latest story on youtube!"/>
    <n v="2754"/>
    <n v="130"/>
    <n v="90"/>
    <n v="22032"/>
    <n v="0.13498547567175018"/>
    <n v="21288"/>
    <n v="112"/>
    <s v="#TeslaCoInnovation"/>
    <s v="#EVRevolution"/>
    <s v="ModelYCampaign"/>
    <x v="109"/>
  </r>
  <r>
    <s v="P132"/>
    <x v="0"/>
    <s v="2025-03-04"/>
    <s v="Story"/>
    <s v="Check out our latest story on instagram!"/>
    <n v="1947"/>
    <n v="842"/>
    <n v="101"/>
    <n v="21417"/>
    <n v="0.13493953401503478"/>
    <n v="20967"/>
    <n v="186"/>
    <s v="#FutureOfDriving"/>
    <s v="#FutureOfDriving"/>
    <s v="FSDUpdate"/>
    <x v="110"/>
  </r>
  <r>
    <s v="P229"/>
    <x v="0"/>
    <s v="2024-07-03"/>
    <s v="Carousel"/>
    <s v="Check out our latest carousel on instagram!"/>
    <n v="4799"/>
    <n v="694"/>
    <n v="289"/>
    <n v="43191"/>
    <n v="0.13387048227640017"/>
    <n v="42228"/>
    <n v="118"/>
    <s v="#EVRevolution"/>
    <s v="#EVRevolution"/>
    <s v="CybertruckLaunch"/>
    <x v="111"/>
  </r>
  <r>
    <s v="P074"/>
    <x v="2"/>
    <s v="2024-10-28"/>
    <s v="Reel"/>
    <s v="Check out our latest reel on youtube!"/>
    <n v="1855"/>
    <n v="200"/>
    <n v="174"/>
    <n v="16695"/>
    <n v="0.13351302785265048"/>
    <n v="16330"/>
    <n v="123"/>
    <s v="#FutureOfDriving"/>
    <s v="#EVRevolution"/>
    <s v="CybertruckLaunch"/>
    <x v="112"/>
  </r>
  <r>
    <s v="P254"/>
    <x v="1"/>
    <s v="2025-01-14"/>
    <s v="Image"/>
    <s v="Check out our latest image on twitter!"/>
    <n v="2692"/>
    <n v="115"/>
    <n v="64"/>
    <n v="21536"/>
    <n v="0.13331166419019316"/>
    <n v="21120"/>
    <n v="224"/>
    <s v="#TeslaCoInnovation,#AnytimeIsTeslaTime"/>
    <s v="#TeslaCoInnovation"/>
    <s v="SustainabilityDrive"/>
    <x v="113"/>
  </r>
  <r>
    <s v="P131"/>
    <x v="0"/>
    <s v="2024-10-21"/>
    <s v="Reel"/>
    <s v="Check out our latest reel on instagram!"/>
    <n v="4840"/>
    <n v="658"/>
    <n v="211"/>
    <n v="43560"/>
    <n v="0.13106060606060607"/>
    <n v="43225"/>
    <n v="57"/>
    <s v="#TeslaCoInnovation"/>
    <s v="#FutureOfDriving"/>
    <m/>
    <x v="114"/>
  </r>
  <r>
    <s v="P236"/>
    <x v="3"/>
    <s v="2024-08-19"/>
    <s v="Text"/>
    <s v="Check out our latest text on facebook!"/>
    <n v="1257"/>
    <n v="19"/>
    <n v="351"/>
    <n v="12570"/>
    <n v="0.12943516308671441"/>
    <n v="11660"/>
    <n v="194"/>
    <s v="#EVRevolution"/>
    <s v="#TeslaCoInnovation"/>
    <s v="SustainabilityDrive"/>
    <x v="115"/>
  </r>
  <r>
    <s v="P114"/>
    <x v="1"/>
    <s v="2024-11-14"/>
    <s v="Story"/>
    <s v="Check out our latest story on twitter!"/>
    <n v="4000"/>
    <n v="689"/>
    <n v="488"/>
    <n v="40000"/>
    <n v="0.12942500000000001"/>
    <n v="39569"/>
    <n v="44"/>
    <s v="#FutureOfDriving"/>
    <s v="#TeslaCoInnovation"/>
    <s v="FSDUpdate"/>
    <x v="116"/>
  </r>
  <r>
    <s v="P056"/>
    <x v="3"/>
    <s v="2024-12-18"/>
    <s v="Carousel"/>
    <s v="Check out our latest carousel on facebook!"/>
    <n v="2946"/>
    <n v="498"/>
    <n v="367"/>
    <n v="29460"/>
    <n v="0.12936184657162253"/>
    <n v="28527"/>
    <n v="60"/>
    <s v="#FutureOfDriving"/>
    <s v="#TeslaCoInnovation"/>
    <m/>
    <x v="117"/>
  </r>
  <r>
    <s v="P105"/>
    <x v="0"/>
    <s v="2024-06-14"/>
    <s v="Carousel"/>
    <s v="Check out our latest carousel on instagram!"/>
    <n v="498"/>
    <n v="38"/>
    <n v="42"/>
    <n v="4482"/>
    <n v="0.12896028558679162"/>
    <n v="3647"/>
    <n v="32"/>
    <s v="#EVRevolution"/>
    <s v="#FutureOfDriving"/>
    <s v="FSDUpdate"/>
    <x v="118"/>
  </r>
  <r>
    <s v="P012"/>
    <x v="3"/>
    <s v="2024-07-21"/>
    <s v="Reel"/>
    <s v="Check out our latest reel on facebook!"/>
    <n v="1946"/>
    <n v="686"/>
    <n v="377"/>
    <n v="23352"/>
    <n v="0.12885405960945528"/>
    <n v="22982"/>
    <n v="213"/>
    <s v="#FutureOfDriving"/>
    <s v="#EVRevolution"/>
    <m/>
    <x v="119"/>
  </r>
  <r>
    <s v="P235"/>
    <x v="3"/>
    <s v="2024-12-22"/>
    <s v="Image"/>
    <s v="Check out our latest image on facebook!"/>
    <n v="3196"/>
    <n v="941"/>
    <n v="376"/>
    <n v="35156"/>
    <n v="0.1283706906360223"/>
    <n v="34444"/>
    <n v="241"/>
    <s v="#EVRevolution"/>
    <s v="#TeslaCoInnovation"/>
    <s v="ModelYCampaign"/>
    <x v="120"/>
  </r>
  <r>
    <s v="P033"/>
    <x v="3"/>
    <s v="2024-08-21"/>
    <s v="Image"/>
    <s v="Check out our latest image on facebook!"/>
    <n v="1407"/>
    <n v="400"/>
    <n v="351"/>
    <n v="16884"/>
    <n v="0.12781331438047855"/>
    <n v="15954"/>
    <n v="113"/>
    <s v="#EVRevolution"/>
    <s v="#FutureOfDriving"/>
    <s v="CybertruckLaunch"/>
    <x v="121"/>
  </r>
  <r>
    <s v="P038"/>
    <x v="2"/>
    <s v="2025-02-17"/>
    <s v="Reel"/>
    <s v="Check out our latest reel on youtube!"/>
    <n v="3138"/>
    <n v="123"/>
    <n v="291"/>
    <n v="28242"/>
    <n v="0.12577012959422137"/>
    <n v="27550"/>
    <n v="87"/>
    <s v="#EVRevolution"/>
    <s v="#EVRevolution"/>
    <s v="CybertruckLaunch"/>
    <x v="122"/>
  </r>
  <r>
    <s v="P196"/>
    <x v="0"/>
    <s v="2024-12-19"/>
    <s v="Text"/>
    <s v="Check out our latest text on instagram!"/>
    <n v="1813"/>
    <n v="623"/>
    <n v="72"/>
    <n v="19943"/>
    <n v="0.12575841147269717"/>
    <n v="18959"/>
    <n v="85"/>
    <s v="#TeslaCoInnovation"/>
    <s v="#FutureOfDriving"/>
    <s v="SustainabilityDrive"/>
    <x v="123"/>
  </r>
  <r>
    <s v="P128"/>
    <x v="1"/>
    <s v="2025-01-10"/>
    <s v="Image"/>
    <s v="Check out our latest image on twitter!"/>
    <n v="3092"/>
    <n v="106"/>
    <n v="291"/>
    <n v="27828"/>
    <n v="0.12537731780940059"/>
    <n v="27217"/>
    <n v="102"/>
    <s v="#FutureOfDriving"/>
    <s v="#TeslaCoInnovation"/>
    <m/>
    <x v="124"/>
  </r>
  <r>
    <s v="P169"/>
    <x v="2"/>
    <s v="2024-12-03"/>
    <s v="Video"/>
    <s v="Check out our latest video on youtube!"/>
    <n v="3809"/>
    <n v="273"/>
    <n v="200"/>
    <n v="34281"/>
    <n v="0.12490884163239112"/>
    <n v="33534"/>
    <n v="83"/>
    <s v="#FutureOfDriving"/>
    <s v="#AnytimeIsTeslaTime"/>
    <s v="FSDUpdate"/>
    <x v="125"/>
  </r>
  <r>
    <s v="P293"/>
    <x v="3"/>
    <s v="2025-05-14"/>
    <s v="Text"/>
    <s v="Check out our latest text on facebook!"/>
    <n v="2634"/>
    <n v="726"/>
    <n v="241"/>
    <n v="28974"/>
    <n v="0.12428384068475185"/>
    <n v="28102"/>
    <n v="277"/>
    <s v="#FutureOfDriving"/>
    <s v="#TeslaCoInnovation"/>
    <m/>
    <x v="126"/>
  </r>
  <r>
    <s v="P292"/>
    <x v="3"/>
    <s v="2024-11-17"/>
    <s v="Text"/>
    <s v="Check out our latest text on facebook!"/>
    <n v="880"/>
    <n v="297"/>
    <n v="345"/>
    <n v="12320"/>
    <n v="0.12353896103896105"/>
    <n v="11978"/>
    <n v="238"/>
    <s v="#TeslaCoInnovation"/>
    <s v="#EVRevolution"/>
    <m/>
    <x v="127"/>
  </r>
  <r>
    <s v="P212"/>
    <x v="2"/>
    <s v="2025-03-03"/>
    <s v="Video"/>
    <s v="Check out our latest video on youtube!"/>
    <n v="3874"/>
    <n v="884"/>
    <n v="19"/>
    <n v="38740"/>
    <n v="0.123309241094476"/>
    <n v="38552"/>
    <n v="219"/>
    <s v="#EVRevolution"/>
    <s v="#FutureOfDriving"/>
    <s v="SustainabilityDrive"/>
    <x v="128"/>
  </r>
  <r>
    <s v="P110"/>
    <x v="0"/>
    <s v="2024-07-29"/>
    <s v="Reel"/>
    <s v="Check out our latest reel on instagram!"/>
    <n v="3523"/>
    <n v="753"/>
    <n v="482"/>
    <n v="38753"/>
    <n v="0.12277759141227776"/>
    <n v="38579"/>
    <n v="270"/>
    <s v="#FutureOfDriving"/>
    <s v="#FutureOfDriving"/>
    <s v="FSDUpdate"/>
    <x v="129"/>
  </r>
  <r>
    <s v="P245"/>
    <x v="3"/>
    <s v="2025-01-12"/>
    <s v="Reel"/>
    <s v="Check out our latest reel on facebook!"/>
    <n v="4134"/>
    <n v="824"/>
    <n v="99"/>
    <n v="41340"/>
    <n v="0.12232704402515723"/>
    <n v="41050"/>
    <n v="177"/>
    <s v="#FutureOfDriving"/>
    <s v="#EVRevolution"/>
    <s v="ModelYCampaign"/>
    <x v="130"/>
  </r>
  <r>
    <s v="P075"/>
    <x v="0"/>
    <s v="2024-08-01"/>
    <s v="Reel"/>
    <s v="Check out our latest reel on instagram!"/>
    <n v="1674"/>
    <n v="929"/>
    <n v="37"/>
    <n v="21762"/>
    <n v="0.12131237937689551"/>
    <n v="20998"/>
    <n v="255"/>
    <s v="#TeslaCoInnovation"/>
    <s v="#FutureOfDriving"/>
    <s v="SustainabilityDrive"/>
    <x v="131"/>
  </r>
  <r>
    <s v="P255"/>
    <x v="3"/>
    <s v="2025-04-03"/>
    <s v="Story"/>
    <s v="Check out our latest story on facebook!"/>
    <n v="3767"/>
    <n v="514"/>
    <n v="238"/>
    <n v="37670"/>
    <n v="0.11996283514733209"/>
    <n v="36807"/>
    <n v="226"/>
    <s v="#TeslaCoInnovation"/>
    <s v="#EVRevolution"/>
    <s v="CybertruckLaunch"/>
    <x v="132"/>
  </r>
  <r>
    <s v="P071"/>
    <x v="2"/>
    <s v="2024-09-02"/>
    <s v="Carousel"/>
    <s v="Check out our latest carousel on youtube!"/>
    <n v="2551"/>
    <n v="915"/>
    <n v="205"/>
    <n v="30612"/>
    <n v="0.1199202926956749"/>
    <n v="30360"/>
    <n v="227"/>
    <s v="#FutureOfDriving"/>
    <s v="#EVRevolution"/>
    <s v="SustainabilityDrive"/>
    <x v="133"/>
  </r>
  <r>
    <s v="P065"/>
    <x v="0"/>
    <s v="2025-03-28"/>
    <s v="Story"/>
    <s v="Check out our latest story on instagram!"/>
    <n v="1881"/>
    <n v="501"/>
    <n v="99"/>
    <n v="20691"/>
    <n v="0.11990720603160794"/>
    <n v="19987"/>
    <n v="289"/>
    <s v="#EVRevolution"/>
    <s v="#EVRevolution"/>
    <s v="SustainabilityDrive"/>
    <x v="134"/>
  </r>
  <r>
    <s v="P247"/>
    <x v="3"/>
    <s v="2024-08-27"/>
    <s v="Reel"/>
    <s v="Check out our latest reel on facebook!"/>
    <n v="3960"/>
    <n v="266"/>
    <n v="8"/>
    <n v="35640"/>
    <n v="0.11879910213243547"/>
    <n v="34850"/>
    <n v="208"/>
    <s v="#FutureOfDriving"/>
    <s v="#TeslaCoInnovation"/>
    <m/>
    <x v="135"/>
  </r>
  <r>
    <s v="P035"/>
    <x v="0"/>
    <s v="2024-11-30"/>
    <s v="Video"/>
    <s v="Check out our latest video on instagram!"/>
    <n v="3775"/>
    <n v="16"/>
    <n v="239"/>
    <n v="33975"/>
    <n v="0.11861662987490802"/>
    <n v="33310"/>
    <n v="271"/>
    <s v="#FutureOfDriving"/>
    <s v="#FutureOfDriving"/>
    <s v="FSDUpdate"/>
    <x v="136"/>
  </r>
  <r>
    <s v="P117"/>
    <x v="1"/>
    <s v="2024-11-04"/>
    <s v="Image"/>
    <s v="Check out our latest image on twitter!"/>
    <n v="1606"/>
    <n v="451"/>
    <n v="405"/>
    <n v="20878"/>
    <n v="0.11792317271769326"/>
    <n v="20190"/>
    <n v="219"/>
    <s v="#EVRevolution"/>
    <s v="#FutureOfDriving"/>
    <s v="CybertruckLaunch"/>
    <x v="137"/>
  </r>
  <r>
    <s v="P251"/>
    <x v="0"/>
    <s v="2025-03-27"/>
    <s v="Carousel"/>
    <s v="Check out our latest carousel on instagram!"/>
    <n v="1377"/>
    <n v="796"/>
    <n v="387"/>
    <n v="22032"/>
    <n v="0.11619462599854757"/>
    <n v="21869"/>
    <n v="189"/>
    <s v="#EVRevolution,#SmoothLikeNitroTesla"/>
    <s v="#FutureOfDriving"/>
    <s v="ModelYCampaign"/>
    <x v="138"/>
  </r>
  <r>
    <s v="P011"/>
    <x v="0"/>
    <s v="2025-02-02"/>
    <s v="Story"/>
    <s v="Check out our latest story on instagram!"/>
    <n v="1792"/>
    <n v="614"/>
    <n v="497"/>
    <n v="25088"/>
    <n v="0.11571269132653061"/>
    <n v="24675"/>
    <n v="65"/>
    <s v="#FutureOfDriving"/>
    <s v="#TeslaCoInnovation"/>
    <m/>
    <x v="139"/>
  </r>
  <r>
    <s v="P161"/>
    <x v="1"/>
    <s v="2025-02-19"/>
    <s v="Text"/>
    <s v="Check out our latest text on twitter!"/>
    <n v="4671"/>
    <n v="876"/>
    <n v="366"/>
    <n v="51381"/>
    <n v="0.11508145034156594"/>
    <n v="50565"/>
    <n v="245"/>
    <s v="#FutureOfDriving"/>
    <s v="#EVRevolution"/>
    <s v="SustainabilityDrive"/>
    <x v="140"/>
  </r>
  <r>
    <s v="P155"/>
    <x v="2"/>
    <s v="2024-12-21"/>
    <s v="Image"/>
    <s v="Check out our latest image on youtube!"/>
    <n v="2283"/>
    <n v="210"/>
    <n v="130"/>
    <n v="22830"/>
    <n v="0.11489268506351293"/>
    <n v="22617"/>
    <n v="143"/>
    <s v="#TeslaCoInnovation"/>
    <s v="#FutureOfDriving"/>
    <s v="FSDUpdate"/>
    <x v="141"/>
  </r>
  <r>
    <s v="P284"/>
    <x v="1"/>
    <s v="2024-09-17"/>
    <s v="Text"/>
    <s v="Check out our latest text on twitter!"/>
    <n v="571"/>
    <n v="190"/>
    <n v="352"/>
    <n v="9707"/>
    <n v="0.11465952405480581"/>
    <n v="9418"/>
    <n v="231"/>
    <s v="#EVRevolution"/>
    <s v="#FutureOfDriving"/>
    <s v="SustainabilityDrive"/>
    <x v="142"/>
  </r>
  <r>
    <s v="P113"/>
    <x v="1"/>
    <s v="2024-10-02"/>
    <s v="Carousel"/>
    <s v="Check out our latest carousel on twitter!"/>
    <n v="4419"/>
    <n v="236"/>
    <n v="369"/>
    <n v="44190"/>
    <n v="0.11369088028965829"/>
    <n v="43582"/>
    <n v="10"/>
    <s v="#TeslaCoInnovation"/>
    <s v="#TeslaCoInnovation"/>
    <s v="SustainabilityDrive"/>
    <x v="143"/>
  </r>
  <r>
    <s v="P158"/>
    <x v="0"/>
    <s v="2024-08-11"/>
    <s v="Story"/>
    <s v="Check out our latest story on instagram!"/>
    <n v="1762"/>
    <n v="405"/>
    <n v="423"/>
    <n v="22906"/>
    <n v="0.11307081114118571"/>
    <n v="21925"/>
    <n v="25"/>
    <s v="#EVRevolution,#AnytimeIsTeslaTime"/>
    <s v="#TeslaCoInnovation"/>
    <m/>
    <x v="144"/>
  </r>
  <r>
    <s v="P098"/>
    <x v="1"/>
    <s v="2024-06-10"/>
    <s v="Story"/>
    <s v="Check out our latest story on twitter!"/>
    <n v="1575"/>
    <n v="771"/>
    <n v="486"/>
    <n v="25200"/>
    <n v="0.11238095238095239"/>
    <n v="24826"/>
    <n v="17"/>
    <s v="#TeslaCoInnovation"/>
    <s v="#FutureOfDriving"/>
    <s v="ModelYCampaign"/>
    <x v="145"/>
  </r>
  <r>
    <s v="P227"/>
    <x v="0"/>
    <s v="2024-06-12"/>
    <s v="Text"/>
    <s v="Check out our latest text on instagram!"/>
    <n v="246"/>
    <n v="149"/>
    <n v="130"/>
    <n v="4674"/>
    <n v="0.11232349165596919"/>
    <n v="4390"/>
    <n v="217"/>
    <s v="#EVRevolution"/>
    <s v="#EVRevolution"/>
    <s v="SustainabilityDrive"/>
    <x v="146"/>
  </r>
  <r>
    <s v="P222"/>
    <x v="3"/>
    <s v="2024-10-08"/>
    <s v="Reel"/>
    <s v="Check out our latest reel on facebook!"/>
    <n v="1814"/>
    <n v="653"/>
    <n v="363"/>
    <n v="25396"/>
    <n v="0.11143487163332809"/>
    <n v="25286"/>
    <n v="39"/>
    <s v="#EVRevolution"/>
    <s v="#FutureOfDriving"/>
    <s v="CybertruckLaunch"/>
    <x v="147"/>
  </r>
  <r>
    <s v="P278"/>
    <x v="1"/>
    <s v="2024-11-26"/>
    <s v="Text"/>
    <s v="Check out our latest text on twitter!"/>
    <n v="4516"/>
    <n v="836"/>
    <n v="169"/>
    <n v="49676"/>
    <n v="0.11114018842096787"/>
    <n v="49257"/>
    <n v="282"/>
    <s v="#TeslaCoInnovation"/>
    <s v="#FutureOfDriving"/>
    <s v="SustainabilityDrive"/>
    <x v="148"/>
  </r>
  <r>
    <s v="P151"/>
    <x v="0"/>
    <s v="2024-07-26"/>
    <s v="Image"/>
    <s v="Check out our latest image on instagram!"/>
    <n v="3559"/>
    <n v="59"/>
    <n v="289"/>
    <n v="35590"/>
    <n v="0.10977802753582468"/>
    <n v="35105"/>
    <n v="122"/>
    <s v="#EVRevolution"/>
    <s v="#EVRevolution"/>
    <s v="CybertruckLaunch"/>
    <x v="149"/>
  </r>
  <r>
    <s v="P156"/>
    <x v="3"/>
    <s v="2024-10-22"/>
    <s v="Carousel"/>
    <s v="Check out our latest carousel on facebook!"/>
    <n v="3352"/>
    <n v="941"/>
    <n v="482"/>
    <n v="43576"/>
    <n v="0.1095786671562328"/>
    <n v="43338"/>
    <n v="240"/>
    <s v="#EVRevolution"/>
    <s v="#EVRevolution"/>
    <s v="SustainabilityDrive"/>
    <x v="150"/>
  </r>
  <r>
    <s v="P157"/>
    <x v="2"/>
    <s v="2024-07-23"/>
    <s v="Story"/>
    <s v="Check out our latest story on youtube!"/>
    <n v="4775"/>
    <n v="173"/>
    <n v="206"/>
    <n v="47750"/>
    <n v="0.10793717277486911"/>
    <n v="47544"/>
    <n v="187"/>
    <s v="#TeslaCoInnovation"/>
    <s v="#SmoothLikeNitroTesla"/>
    <s v="FSDUpdate"/>
    <x v="151"/>
  </r>
  <r>
    <s v="P206"/>
    <x v="1"/>
    <s v="2024-06-24"/>
    <s v="Text"/>
    <s v="Check out our latest text on twitter!"/>
    <n v="941"/>
    <n v="121"/>
    <n v="458"/>
    <n v="14115"/>
    <n v="0.10768685795253277"/>
    <n v="13838"/>
    <n v="87"/>
    <s v="#FutureOfDriving"/>
    <s v="#FutureOfDriving"/>
    <s v="SustainabilityDrive"/>
    <x v="152"/>
  </r>
  <r>
    <s v="P282"/>
    <x v="0"/>
    <s v="2024-10-03"/>
    <s v="Video"/>
    <s v="Check out our latest video on instagram!"/>
    <n v="1488"/>
    <n v="417"/>
    <n v="168"/>
    <n v="19344"/>
    <n v="0.1071650124069479"/>
    <n v="18395"/>
    <n v="30"/>
    <s v="#FutureOfDriving"/>
    <s v="#FutureOfDriving"/>
    <s v="ModelYCampaign"/>
    <x v="153"/>
  </r>
  <r>
    <s v="P049"/>
    <x v="1"/>
    <s v="2024-06-10"/>
    <s v="Story"/>
    <s v="Check out our latest story on twitter!"/>
    <n v="2164"/>
    <n v="549"/>
    <n v="274"/>
    <n v="28132"/>
    <n v="0.10617801791554102"/>
    <n v="27361"/>
    <n v="177"/>
    <s v="#FutureOfDriving"/>
    <s v="#TeslaCoInnovation"/>
    <s v="ModelYCampaign"/>
    <x v="154"/>
  </r>
  <r>
    <s v="P205"/>
    <x v="1"/>
    <s v="2025-04-24"/>
    <s v="Video"/>
    <s v="Check out our latest video on twitter!"/>
    <n v="3820"/>
    <n v="697"/>
    <n v="268"/>
    <n v="45840"/>
    <n v="0.1043848167539267"/>
    <n v="45631"/>
    <n v="171"/>
    <s v="#FutureOfDriving"/>
    <s v="#EVRevolution"/>
    <s v="ModelYCampaign"/>
    <x v="155"/>
  </r>
  <r>
    <s v="P008"/>
    <x v="2"/>
    <s v="2024-07-13"/>
    <s v="Image"/>
    <s v="Check out our latest image on youtube!"/>
    <n v="3929"/>
    <n v="262"/>
    <n v="278"/>
    <n v="43219"/>
    <n v="0.10340359564080613"/>
    <n v="42841"/>
    <n v="39"/>
    <s v="#TeslaCoInnovation"/>
    <s v="#TeslaCoInnovation"/>
    <s v="CybertruckLaunch"/>
    <x v="156"/>
  </r>
  <r>
    <s v="P096"/>
    <x v="1"/>
    <s v="2024-09-10"/>
    <s v="Image"/>
    <s v="Check out our latest image on twitter!"/>
    <n v="1238"/>
    <n v="366"/>
    <n v="444"/>
    <n v="19808"/>
    <n v="0.10339256865912763"/>
    <n v="19334"/>
    <n v="123"/>
    <s v="#FutureOfDriving"/>
    <s v="#EVRevolution"/>
    <s v="ModelYCampaign"/>
    <x v="157"/>
  </r>
  <r>
    <s v="P018"/>
    <x v="0"/>
    <s v="2024-08-19"/>
    <s v="Reel"/>
    <s v="Check out our latest reel on instagram!"/>
    <n v="3000"/>
    <n v="382"/>
    <n v="325"/>
    <n v="36000"/>
    <n v="0.10297222222222223"/>
    <n v="35819"/>
    <n v="19"/>
    <s v="#TeslaCoInnovation"/>
    <s v="#AnytimeIsTeslaTime"/>
    <m/>
    <x v="158"/>
  </r>
  <r>
    <s v="P182"/>
    <x v="3"/>
    <s v="2024-07-31"/>
    <s v="Image"/>
    <s v="Check out our latest image on facebook!"/>
    <n v="4689"/>
    <n v="134"/>
    <n v="403"/>
    <n v="51579"/>
    <n v="0.10132030477519921"/>
    <n v="50924"/>
    <n v="173"/>
    <s v="#TeslaCoInnovation"/>
    <s v="#TeslaCoInnovation"/>
    <s v="SustainabilityDrive"/>
    <x v="159"/>
  </r>
  <r>
    <s v="P266"/>
    <x v="3"/>
    <s v="2024-11-25"/>
    <s v="Story"/>
    <s v="Check out our latest story on facebook!"/>
    <n v="4182"/>
    <n v="640"/>
    <n v="240"/>
    <n v="50184"/>
    <n v="0.10086880280567512"/>
    <n v="49351"/>
    <n v="10"/>
    <s v="#FutureOfDriving"/>
    <s v="#EVRevolution"/>
    <m/>
    <x v="160"/>
  </r>
  <r>
    <s v="P019"/>
    <x v="0"/>
    <s v="2024-06-23"/>
    <s v="Video"/>
    <s v="Check out our latest video on instagram!"/>
    <n v="1071"/>
    <n v="519"/>
    <n v="22"/>
    <n v="16065"/>
    <n v="0.10034235916588857"/>
    <n v="15865"/>
    <n v="103"/>
    <s v="#TeslaCoInnovation"/>
    <s v="#EVRevolution"/>
    <s v="ModelYCampaign"/>
    <x v="161"/>
  </r>
  <r>
    <s v="P108"/>
    <x v="1"/>
    <s v="2025-03-25"/>
    <s v="Video"/>
    <s v="Check out our latest video on twitter!"/>
    <n v="4050"/>
    <n v="871"/>
    <n v="347"/>
    <n v="52650"/>
    <n v="0.10005698005698006"/>
    <n v="51755"/>
    <n v="209"/>
    <s v="#TeslaCoInnovation,#AnytimeIsTeslaTime"/>
    <s v="#TeslaCoInnovation"/>
    <s v="SustainabilityDrive"/>
    <x v="162"/>
  </r>
  <r>
    <s v="P126"/>
    <x v="0"/>
    <s v="2025-03-28"/>
    <s v="Carousel"/>
    <s v="Check out our latest carousel on instagram!"/>
    <n v="4158"/>
    <n v="167"/>
    <n v="241"/>
    <n v="45738"/>
    <n v="9.9829463465827106E-2"/>
    <n v="45183"/>
    <n v="142"/>
    <s v="#TeslaCoInnovation"/>
    <s v="#EVRevolution"/>
    <s v="ModelYCampaign"/>
    <x v="163"/>
  </r>
  <r>
    <s v="P103"/>
    <x v="3"/>
    <s v="2024-06-11"/>
    <s v="Image"/>
    <s v="Check out our latest image on facebook!"/>
    <n v="3689"/>
    <n v="48"/>
    <n v="306"/>
    <n v="40579"/>
    <n v="9.9632815002833983E-2"/>
    <n v="39588"/>
    <n v="212"/>
    <s v="#FutureOfDriving"/>
    <s v="#EVRevolution"/>
    <s v="CybertruckLaunch"/>
    <x v="164"/>
  </r>
  <r>
    <s v="P191"/>
    <x v="2"/>
    <s v="2024-12-03"/>
    <s v="Story"/>
    <s v="Check out our latest story on youtube!"/>
    <n v="4285"/>
    <n v="886"/>
    <n v="376"/>
    <n v="55705"/>
    <n v="9.9578134817341346E-2"/>
    <n v="55556"/>
    <n v="51"/>
    <s v="#FutureOfDriving"/>
    <s v="#TeslaCoInnovation"/>
    <m/>
    <x v="165"/>
  </r>
  <r>
    <s v="P193"/>
    <x v="1"/>
    <s v="2024-09-11"/>
    <s v="Image"/>
    <s v="Check out our latest image on twitter!"/>
    <n v="4858"/>
    <n v="317"/>
    <n v="129"/>
    <n v="53438"/>
    <n v="9.9255211647142488E-2"/>
    <n v="52687"/>
    <n v="223"/>
    <s v="#EVRevolution"/>
    <s v="#FutureOfDriving"/>
    <s v="CybertruckLaunch"/>
    <x v="166"/>
  </r>
  <r>
    <s v="P167"/>
    <x v="0"/>
    <s v="2024-11-28"/>
    <s v="Text"/>
    <s v="Check out our latest text on instagram!"/>
    <n v="4771"/>
    <n v="818"/>
    <n v="56"/>
    <n v="57252"/>
    <n v="9.859917557465242E-2"/>
    <n v="56378"/>
    <n v="150"/>
    <s v="#EVRevolution"/>
    <s v="#FutureOfDriving"/>
    <s v="CybertruckLaunch"/>
    <x v="167"/>
  </r>
  <r>
    <s v="P044"/>
    <x v="1"/>
    <s v="2025-03-02"/>
    <s v="Image"/>
    <s v="Check out our latest image on twitter!"/>
    <n v="2358"/>
    <n v="784"/>
    <n v="344"/>
    <n v="35370"/>
    <n v="9.8558100084817649E-2"/>
    <n v="34475"/>
    <n v="216"/>
    <s v="#TeslaCoInnovation"/>
    <s v="#FutureOfDriving"/>
    <s v="FSDUpdate"/>
    <x v="168"/>
  </r>
  <r>
    <s v="P171"/>
    <x v="2"/>
    <s v="2024-12-31"/>
    <s v="Video"/>
    <s v="Check out our latest video on youtube!"/>
    <n v="1018"/>
    <n v="447"/>
    <n v="332"/>
    <n v="18324"/>
    <n v="9.8068107400130972E-2"/>
    <n v="18164"/>
    <n v="38"/>
    <s v="#FutureOfDriving"/>
    <s v="#FutureOfDriving"/>
    <s v="ModelYCampaign"/>
    <x v="169"/>
  </r>
  <r>
    <s v="P273"/>
    <x v="2"/>
    <s v="2024-10-12"/>
    <s v="Story"/>
    <s v="Check out our latest story on youtube!"/>
    <n v="3641"/>
    <n v="226"/>
    <n v="46"/>
    <n v="40051"/>
    <n v="9.7700431949264685E-2"/>
    <n v="39319"/>
    <n v="296"/>
    <s v="#EVRevolution"/>
    <s v="#TeslaCoInnovation"/>
    <s v="FSDUpdate"/>
    <x v="170"/>
  </r>
  <r>
    <s v="P243"/>
    <x v="1"/>
    <s v="2025-03-06"/>
    <s v="Image"/>
    <s v="Check out our latest image on twitter!"/>
    <n v="3592"/>
    <n v="911"/>
    <n v="375"/>
    <n v="50288"/>
    <n v="9.7001272669424113E-2"/>
    <n v="49490"/>
    <n v="32"/>
    <s v="#FutureOfDriving"/>
    <s v="#FutureOfDriving"/>
    <s v="FSDUpdate"/>
    <x v="171"/>
  </r>
  <r>
    <s v="P185"/>
    <x v="0"/>
    <s v="2025-01-11"/>
    <s v="Carousel"/>
    <s v="Check out our latest carousel on instagram!"/>
    <n v="4523"/>
    <n v="61"/>
    <n v="157"/>
    <n v="49753"/>
    <n v="9.5290736237010829E-2"/>
    <n v="49329"/>
    <n v="71"/>
    <s v="#EVRevolution"/>
    <s v="#TeslaCoInnovation"/>
    <m/>
    <x v="172"/>
  </r>
  <r>
    <s v="P081"/>
    <x v="0"/>
    <s v="2024-10-19"/>
    <s v="Story"/>
    <s v="Check out our latest story on instagram!"/>
    <n v="1816"/>
    <n v="29"/>
    <n v="41"/>
    <n v="19976"/>
    <n v="9.4413295955146179E-2"/>
    <n v="19262"/>
    <n v="283"/>
    <s v="#FutureOfDriving"/>
    <s v="#TeslaCoInnovation"/>
    <s v="SustainabilityDrive"/>
    <x v="173"/>
  </r>
  <r>
    <s v="P017"/>
    <x v="3"/>
    <s v="2025-05-05"/>
    <s v="Text"/>
    <s v="Check out our latest text on facebook!"/>
    <n v="4441"/>
    <n v="511"/>
    <n v="70"/>
    <n v="53292"/>
    <n v="9.4235532537716729E-2"/>
    <n v="53082"/>
    <n v="159"/>
    <s v="#TeslaCoInnovation"/>
    <s v="#FutureOfDriving"/>
    <s v="CybertruckLaunch"/>
    <x v="174"/>
  </r>
  <r>
    <s v="P139"/>
    <x v="2"/>
    <s v="2024-10-29"/>
    <s v="Text"/>
    <s v="Check out our latest text on youtube!"/>
    <n v="2746"/>
    <n v="156"/>
    <n v="203"/>
    <n v="32952"/>
    <n v="9.422796795338674E-2"/>
    <n v="32147"/>
    <n v="147"/>
    <s v="#TeslaCoInnovation"/>
    <s v="#TeslaCoInnovation"/>
    <s v="FSDUpdate"/>
    <x v="175"/>
  </r>
  <r>
    <s v="P069"/>
    <x v="1"/>
    <s v="2025-03-08"/>
    <s v="Text"/>
    <s v="Check out our latest text on twitter!"/>
    <n v="1292"/>
    <n v="626"/>
    <n v="496"/>
    <n v="25840"/>
    <n v="9.3421052631578946E-2"/>
    <n v="24916"/>
    <n v="149"/>
    <s v="#TeslaCoInnovation"/>
    <s v="#TeslaCoInnovation"/>
    <s v="SustainabilityDrive"/>
    <x v="176"/>
  </r>
  <r>
    <s v="P059"/>
    <x v="0"/>
    <s v="2024-06-22"/>
    <s v="Text"/>
    <s v="Check out our latest text on instagram!"/>
    <n v="2180"/>
    <n v="263"/>
    <n v="387"/>
    <n v="30520"/>
    <n v="9.2726081258191345E-2"/>
    <n v="30059"/>
    <n v="174"/>
    <s v="#TeslaCoInnovation"/>
    <s v="#AnytimeIsTeslaTime"/>
    <m/>
    <x v="147"/>
  </r>
  <r>
    <s v="P100"/>
    <x v="2"/>
    <s v="2025-02-10"/>
    <s v="Video"/>
    <s v="Check out our latest video on youtube!"/>
    <n v="1766"/>
    <n v="92"/>
    <n v="424"/>
    <n v="24724"/>
    <n v="9.2298980747451867E-2"/>
    <n v="24333"/>
    <n v="52"/>
    <s v="#TeslaCoInnovation"/>
    <s v="#TeslaCoInnovation"/>
    <s v="CybertruckLaunch"/>
    <x v="177"/>
  </r>
  <r>
    <s v="P055"/>
    <x v="3"/>
    <s v="2024-06-17"/>
    <s v="Image"/>
    <s v="Check out our latest image on facebook!"/>
    <n v="1226"/>
    <n v="119"/>
    <n v="7"/>
    <n v="14712"/>
    <n v="9.1897770527460579E-2"/>
    <n v="14049"/>
    <n v="123"/>
    <s v="#EVRevolution"/>
    <s v="#FutureOfDriving"/>
    <s v="FSDUpdate"/>
    <x v="15"/>
  </r>
  <r>
    <s v="P177"/>
    <x v="0"/>
    <s v="2024-07-10"/>
    <s v="Carousel"/>
    <s v="Check out our latest carousel on instagram!"/>
    <n v="3099"/>
    <n v="694"/>
    <n v="171"/>
    <n v="43386"/>
    <n v="9.1365878393951966E-2"/>
    <n v="42921"/>
    <n v="52"/>
    <s v="#TeslaCoInnovation"/>
    <s v="#FutureOfDriving"/>
    <s v="SustainabilityDrive"/>
    <x v="178"/>
  </r>
  <r>
    <s v="P160"/>
    <x v="1"/>
    <s v="2024-08-24"/>
    <s v="Video"/>
    <s v="Check out our latest video on twitter!"/>
    <n v="1082"/>
    <n v="209"/>
    <n v="484"/>
    <n v="19476"/>
    <n v="9.1137810638734856E-2"/>
    <n v="18654"/>
    <n v="20"/>
    <s v="#FutureOfDriving"/>
    <s v="#EVRevolution"/>
    <s v="ModelYCampaign"/>
    <x v="179"/>
  </r>
  <r>
    <s v="P001"/>
    <x v="1"/>
    <s v="2024-12-23"/>
    <s v="Reel"/>
    <s v="Check out our latest reel on twitter!"/>
    <n v="1461"/>
    <n v="184"/>
    <n v="344"/>
    <n v="21915"/>
    <n v="9.0759753593429152E-2"/>
    <n v="21675"/>
    <n v="15"/>
    <s v="#EVRevolution"/>
    <s v="#EVRevolution"/>
    <s v="CybertruckLaunch"/>
    <x v="180"/>
  </r>
  <r>
    <s v="P201"/>
    <x v="1"/>
    <s v="2025-01-15"/>
    <s v="Reel"/>
    <s v="Check out our latest reel on twitter!"/>
    <n v="802"/>
    <n v="262"/>
    <n v="244"/>
    <n v="14436"/>
    <n v="9.0606816292601824E-2"/>
    <n v="14280"/>
    <n v="49"/>
    <s v="#EVRevolution"/>
    <s v="#TeslaCoInnovation"/>
    <m/>
    <x v="181"/>
  </r>
  <r>
    <s v="P180"/>
    <x v="2"/>
    <s v="2024-12-03"/>
    <s v="Text"/>
    <s v="Check out our latest text on youtube!"/>
    <n v="3711"/>
    <n v="352"/>
    <n v="290"/>
    <n v="48243"/>
    <n v="9.023070704558174E-2"/>
    <n v="47579"/>
    <n v="11"/>
    <s v="#EVRevolution"/>
    <s v="#FutureOfDriving"/>
    <s v="FSDUpdate"/>
    <x v="182"/>
  </r>
  <r>
    <s v="P026"/>
    <x v="2"/>
    <s v="2025-04-05"/>
    <s v="Reel"/>
    <s v="Check out our latest reel on youtube!"/>
    <n v="3009"/>
    <n v="413"/>
    <n v="358"/>
    <n v="42126"/>
    <n v="8.9730807577268201E-2"/>
    <n v="41309"/>
    <n v="211"/>
    <s v="#EVRevolution"/>
    <s v="#EVRevolution"/>
    <s v="FSDUpdate"/>
    <x v="183"/>
  </r>
  <r>
    <s v="P130"/>
    <x v="2"/>
    <s v="2024-09-29"/>
    <s v="Reel"/>
    <s v="Check out our latest reel on youtube!"/>
    <n v="2936"/>
    <n v="439"/>
    <n v="44"/>
    <n v="38168"/>
    <n v="8.9577656675749323E-2"/>
    <n v="37571"/>
    <n v="22"/>
    <s v="#FutureOfDriving"/>
    <s v="#FutureOfDriving"/>
    <s v="ModelYCampaign"/>
    <x v="184"/>
  </r>
  <r>
    <s v="P079"/>
    <x v="0"/>
    <s v="2024-10-09"/>
    <s v="Carousel"/>
    <s v="Check out our latest carousel on instagram!"/>
    <n v="3068"/>
    <n v="137"/>
    <n v="329"/>
    <n v="39884"/>
    <n v="8.860696018453515E-2"/>
    <n v="39404"/>
    <n v="266"/>
    <s v="#TeslaCoInnovation"/>
    <s v="#EVRevolution"/>
    <s v="CybertruckLaunch"/>
    <x v="185"/>
  </r>
  <r>
    <s v="P072"/>
    <x v="2"/>
    <s v="2025-03-03"/>
    <s v="Reel"/>
    <s v="Check out our latest reel on youtube!"/>
    <n v="296"/>
    <n v="60"/>
    <n v="141"/>
    <n v="5624"/>
    <n v="8.837126600284495E-2"/>
    <n v="5239"/>
    <n v="88"/>
    <s v="#FutureOfDriving"/>
    <s v="#FutureOfDriving"/>
    <m/>
    <x v="186"/>
  </r>
  <r>
    <s v="P009"/>
    <x v="3"/>
    <s v="2024-08-30"/>
    <s v="Text"/>
    <s v="Check out our latest text on facebook!"/>
    <n v="3784"/>
    <n v="808"/>
    <n v="404"/>
    <n v="56760"/>
    <n v="8.8019732205778717E-2"/>
    <n v="56343"/>
    <n v="131"/>
    <s v="#FutureOfDriving"/>
    <s v="#TeslaCoInnovation"/>
    <s v="FSDUpdate"/>
    <x v="187"/>
  </r>
  <r>
    <s v="P260"/>
    <x v="0"/>
    <s v="2025-02-12"/>
    <s v="Story"/>
    <s v="Check out our latest story on instagram!"/>
    <n v="4332"/>
    <n v="771"/>
    <n v="219"/>
    <n v="60648"/>
    <n v="8.7752275425405618E-2"/>
    <n v="60397"/>
    <n v="10"/>
    <s v="#EVRevolution"/>
    <s v="#TeslaCoInnovation"/>
    <m/>
    <x v="188"/>
  </r>
  <r>
    <s v="P249"/>
    <x v="1"/>
    <s v="2024-07-18"/>
    <s v="Image"/>
    <s v="Check out our latest image on twitter!"/>
    <n v="827"/>
    <n v="77"/>
    <n v="402"/>
    <n v="14886"/>
    <n v="8.7733440816874911E-2"/>
    <n v="14129"/>
    <n v="254"/>
    <s v="#EVRevolution"/>
    <s v="#TeslaCoInnovation"/>
    <s v="FSDUpdate"/>
    <x v="189"/>
  </r>
  <r>
    <s v="P097"/>
    <x v="0"/>
    <s v="2024-08-13"/>
    <s v="Image"/>
    <s v="Check out our latest image on instagram!"/>
    <n v="4739"/>
    <n v="527"/>
    <n v="135"/>
    <n v="61607"/>
    <n v="8.7668609086629767E-2"/>
    <n v="61333"/>
    <n v="36"/>
    <s v="#EVRevolution"/>
    <s v="#TeslaCoInnovation"/>
    <s v="CybertruckLaunch"/>
    <x v="190"/>
  </r>
  <r>
    <s v="P253"/>
    <x v="1"/>
    <s v="2024-08-03"/>
    <s v="Reel"/>
    <s v="Check out our latest reel on twitter!"/>
    <n v="3791"/>
    <n v="593"/>
    <n v="228"/>
    <n v="53074"/>
    <n v="8.6897539284772202E-2"/>
    <n v="52613"/>
    <n v="205"/>
    <s v="#FutureOfDriving,#TeslaCoInnovation,#AnytimeIsTeslaTime"/>
    <s v="#TeslaCoInnovation"/>
    <s v="SustainabilityDrive"/>
    <x v="191"/>
  </r>
  <r>
    <s v="P084"/>
    <x v="3"/>
    <s v="2024-12-09"/>
    <s v="Image"/>
    <s v="Check out our latest image on facebook!"/>
    <n v="1841"/>
    <n v="851"/>
    <n v="342"/>
    <n v="34979"/>
    <n v="8.6737756939878216E-2"/>
    <n v="34154"/>
    <n v="255"/>
    <s v="#EVRevolution"/>
    <s v="#EVRevolution"/>
    <s v="FSDUpdate"/>
    <x v="192"/>
  </r>
  <r>
    <s v="P162"/>
    <x v="3"/>
    <s v="2025-04-01"/>
    <s v="Story"/>
    <s v="Check out our latest story on facebook!"/>
    <n v="3430"/>
    <n v="566"/>
    <n v="164"/>
    <n v="48020"/>
    <n v="8.6630570595585168E-2"/>
    <n v="47305"/>
    <n v="120"/>
    <s v="#EVRevolution"/>
    <s v="#TeslaCoInnovation"/>
    <s v="CybertruckLaunch"/>
    <x v="193"/>
  </r>
  <r>
    <s v="P208"/>
    <x v="2"/>
    <s v="2024-06-24"/>
    <s v="Video"/>
    <s v="Check out our latest video on youtube!"/>
    <n v="2949"/>
    <n v="476"/>
    <n v="403"/>
    <n v="44235"/>
    <n v="8.6537809426924378E-2"/>
    <n v="43705"/>
    <n v="135"/>
    <s v="#TeslaCoInnovation"/>
    <s v="#FutureOfDriving"/>
    <s v="FSDUpdate"/>
    <x v="194"/>
  </r>
  <r>
    <s v="P240"/>
    <x v="1"/>
    <s v="2024-08-26"/>
    <s v="Carousel"/>
    <s v="Check out our latest carousel on twitter!"/>
    <n v="929"/>
    <n v="192"/>
    <n v="322"/>
    <n v="16722"/>
    <n v="8.6293505561535699E-2"/>
    <n v="15996"/>
    <n v="145"/>
    <s v="#TeslaCoInnovation"/>
    <s v="#EVRevolution"/>
    <s v="ModelYCampaign"/>
    <x v="195"/>
  </r>
  <r>
    <s v="P231"/>
    <x v="0"/>
    <s v="2025-05-01"/>
    <s v="Text"/>
    <s v="Check out our latest text on instagram!"/>
    <n v="1430"/>
    <n v="376"/>
    <n v="33"/>
    <n v="21450"/>
    <n v="8.5734265734265735E-2"/>
    <n v="20509"/>
    <n v="251"/>
    <s v="#TeslaCoInnovation"/>
    <s v="#EVRevolution"/>
    <s v="ModelYCampaign"/>
    <x v="196"/>
  </r>
  <r>
    <s v="P106"/>
    <x v="0"/>
    <s v="2025-02-04"/>
    <s v="Image"/>
    <s v="Check out our latest image on instagram!"/>
    <n v="4619"/>
    <n v="821"/>
    <n v="499"/>
    <n v="69285"/>
    <n v="8.5718409468138843E-2"/>
    <n v="69141"/>
    <n v="298"/>
    <s v="#EVRevolution"/>
    <s v="#EVRevolution"/>
    <s v="CybertruckLaunch"/>
    <x v="197"/>
  </r>
  <r>
    <s v="P082"/>
    <x v="0"/>
    <s v="2024-07-24"/>
    <s v="Image"/>
    <s v="Check out our latest image on instagram!"/>
    <n v="725"/>
    <n v="88"/>
    <n v="428"/>
    <n v="14500"/>
    <n v="8.558620689655172E-2"/>
    <n v="13637"/>
    <n v="200"/>
    <s v="#EVRevolution"/>
    <s v="#EVRevolution"/>
    <s v="FSDUpdate"/>
    <x v="198"/>
  </r>
  <r>
    <s v="P199"/>
    <x v="2"/>
    <s v="2024-11-30"/>
    <s v="Carousel"/>
    <s v="Check out our latest carousel on youtube!"/>
    <n v="2509"/>
    <n v="324"/>
    <n v="171"/>
    <n v="35126"/>
    <n v="8.5520696919660646E-2"/>
    <n v="34685"/>
    <n v="277"/>
    <s v="#FutureOfDriving"/>
    <s v="#FutureOfDriving"/>
    <s v="CybertruckLaunch"/>
    <x v="199"/>
  </r>
  <r>
    <s v="P188"/>
    <x v="2"/>
    <s v="2024-06-06"/>
    <s v="Reel"/>
    <s v="Check out our latest reel on youtube!"/>
    <n v="2728"/>
    <n v="533"/>
    <n v="215"/>
    <n v="40920"/>
    <n v="8.4946236559139784E-2"/>
    <n v="40816"/>
    <n v="137"/>
    <s v="#FutureOfDriving"/>
    <s v="#TeslaCoInnovation"/>
    <s v="FSDUpdate"/>
    <x v="200"/>
  </r>
  <r>
    <s v="P186"/>
    <x v="3"/>
    <s v="2024-08-24"/>
    <s v="Carousel"/>
    <s v="Check out our latest carousel on facebook!"/>
    <n v="4292"/>
    <n v="51"/>
    <n v="392"/>
    <n v="55796"/>
    <n v="8.4862714173059003E-2"/>
    <n v="54826"/>
    <n v="264"/>
    <s v="#TeslaCoInnovation,#SmoothLikeNitroTesla"/>
    <s v="#FutureOfDriving"/>
    <s v="SustainabilityDrive"/>
    <x v="201"/>
  </r>
  <r>
    <s v="P194"/>
    <x v="2"/>
    <s v="2024-10-02"/>
    <s v="Story"/>
    <s v="Check out our latest story on youtube!"/>
    <n v="4350"/>
    <n v="771"/>
    <n v="7"/>
    <n v="60900"/>
    <n v="8.4203612479474554E-2"/>
    <n v="60592"/>
    <n v="195"/>
    <s v="#EVRevolution"/>
    <s v="#FutureOfDriving"/>
    <s v="CybertruckLaunch"/>
    <x v="202"/>
  </r>
  <r>
    <s v="P268"/>
    <x v="0"/>
    <s v="2025-04-13"/>
    <s v="Reel"/>
    <s v="Check out our latest reel on instagram!"/>
    <n v="4579"/>
    <n v="125"/>
    <n v="300"/>
    <n v="59527"/>
    <n v="8.4062694239588759E-2"/>
    <n v="59400"/>
    <n v="269"/>
    <s v="#TeslaCoInnovation,#SmoothLikeNitroTesla"/>
    <s v="#EVRevolution"/>
    <s v="FSDUpdate"/>
    <x v="203"/>
  </r>
  <r>
    <s v="P290"/>
    <x v="0"/>
    <s v="2024-12-20"/>
    <s v="Carousel"/>
    <s v="Check out our latest carousel on instagram!"/>
    <n v="2107"/>
    <n v="550"/>
    <n v="349"/>
    <n v="35819"/>
    <n v="8.3921940869371006E-2"/>
    <n v="35340"/>
    <n v="191"/>
    <s v="#TeslaCoInnovation"/>
    <s v="#EVRevolution"/>
    <s v="ModelYCampaign"/>
    <x v="204"/>
  </r>
  <r>
    <s v="P187"/>
    <x v="1"/>
    <s v="2024-12-22"/>
    <s v="Reel"/>
    <s v="Check out our latest reel on twitter!"/>
    <n v="1644"/>
    <n v="546"/>
    <n v="150"/>
    <n v="27948"/>
    <n v="8.3726921425504502E-2"/>
    <n v="27184"/>
    <n v="300"/>
    <s v="#FutureOfDriving,#AnytimeIsTeslaTime"/>
    <s v="#EVRevolution"/>
    <s v="SustainabilityDrive"/>
    <x v="205"/>
  </r>
  <r>
    <s v="P300"/>
    <x v="1"/>
    <s v="2024-08-31"/>
    <s v="Carousel"/>
    <s v="Check out our latest carousel on twitter!"/>
    <n v="4494"/>
    <n v="717"/>
    <n v="45"/>
    <n v="62916"/>
    <n v="8.3539958039290485E-2"/>
    <n v="62688"/>
    <n v="191"/>
    <s v="#FutureOfDriving"/>
    <s v="#FutureOfDriving"/>
    <s v="CybertruckLaunch"/>
    <x v="206"/>
  </r>
  <r>
    <s v="P280"/>
    <x v="2"/>
    <s v="2024-10-21"/>
    <s v="Video"/>
    <s v="Check out our latest video on youtube!"/>
    <n v="4275"/>
    <n v="680"/>
    <n v="385"/>
    <n v="64125"/>
    <n v="8.3274853801169585E-2"/>
    <n v="63650"/>
    <n v="104"/>
    <s v="#FutureOfDriving"/>
    <s v="#TeslaCoInnovation"/>
    <s v="SustainabilityDrive"/>
    <x v="207"/>
  </r>
  <r>
    <s v="P261"/>
    <x v="0"/>
    <s v="2024-10-27"/>
    <s v="Image"/>
    <s v="Check out our latest image on instagram!"/>
    <n v="4853"/>
    <n v="837"/>
    <n v="340"/>
    <n v="72795"/>
    <n v="8.2835359571399134E-2"/>
    <n v="72237"/>
    <n v="170"/>
    <s v="#TeslaCoInnovation"/>
    <s v="#AnytimeIsTeslaTime"/>
    <s v="ModelYCampaign"/>
    <x v="208"/>
  </r>
  <r>
    <s v="P209"/>
    <x v="1"/>
    <s v="2025-03-19"/>
    <s v="Video"/>
    <s v="Check out our latest video on twitter!"/>
    <n v="3160"/>
    <n v="204"/>
    <n v="297"/>
    <n v="44240"/>
    <n v="8.2753164556962022E-2"/>
    <n v="43666"/>
    <n v="49"/>
    <s v="#EVRevolution"/>
    <s v="#EVRevolution"/>
    <s v="SustainabilityDrive"/>
    <x v="209"/>
  </r>
  <r>
    <s v="P213"/>
    <x v="3"/>
    <s v="2025-05-01"/>
    <s v="Carousel"/>
    <s v="Check out our latest carousel on facebook!"/>
    <n v="2696"/>
    <n v="628"/>
    <n v="443"/>
    <n v="45832"/>
    <n v="8.21914819340199E-2"/>
    <n v="45632"/>
    <n v="248"/>
    <s v="#FutureOfDriving"/>
    <s v="#EVRevolution"/>
    <s v="ModelYCampaign"/>
    <x v="210"/>
  </r>
  <r>
    <s v="P202"/>
    <x v="3"/>
    <s v="2024-06-02"/>
    <s v="Image"/>
    <s v="Check out our latest image on facebook!"/>
    <n v="1871"/>
    <n v="252"/>
    <n v="335"/>
    <n v="29936"/>
    <n v="8.2108498129342594E-2"/>
    <n v="29576"/>
    <n v="288"/>
    <s v="#EVRevolution"/>
    <s v="#TeslaCoInnovation"/>
    <s v="ModelYCampaign"/>
    <x v="211"/>
  </r>
  <r>
    <s v="P078"/>
    <x v="1"/>
    <s v="2024-06-17"/>
    <s v="Image"/>
    <s v="Check out our latest image on twitter!"/>
    <n v="954"/>
    <n v="324"/>
    <n v="288"/>
    <n v="19080"/>
    <n v="8.2075471698113203E-2"/>
    <n v="18859"/>
    <n v="21"/>
    <s v="#EVRevolution"/>
    <s v="#TeslaCoInnovation"/>
    <s v="ModelYCampaign"/>
    <x v="212"/>
  </r>
  <r>
    <s v="P064"/>
    <x v="3"/>
    <s v="2024-08-17"/>
    <s v="Image"/>
    <s v="Check out our latest image on facebook!"/>
    <n v="2878"/>
    <n v="248"/>
    <n v="416"/>
    <n v="43170"/>
    <n v="8.2047718322909427E-2"/>
    <n v="42667"/>
    <n v="75"/>
    <s v="#TeslaCoInnovation"/>
    <s v="#TeslaCoInnovation"/>
    <m/>
    <x v="213"/>
  </r>
  <r>
    <s v="P228"/>
    <x v="0"/>
    <s v="2024-07-01"/>
    <s v="Story"/>
    <s v="Check out our latest story on instagram!"/>
    <n v="4808"/>
    <n v="772"/>
    <n v="320"/>
    <n v="72120"/>
    <n v="8.1808097615085965E-2"/>
    <n v="71696"/>
    <n v="195"/>
    <s v="#TeslaCoInnovation"/>
    <s v="#EVRevolution"/>
    <s v="SustainabilityDrive"/>
    <x v="214"/>
  </r>
  <r>
    <s v="P076"/>
    <x v="1"/>
    <s v="2024-11-07"/>
    <s v="Story"/>
    <s v="Check out our latest story on twitter!"/>
    <n v="1121"/>
    <n v="135"/>
    <n v="18"/>
    <n v="15694"/>
    <n v="8.1177520071364848E-2"/>
    <n v="14957"/>
    <n v="99"/>
    <s v="#TeslaCoInnovation"/>
    <s v="#EVRevolution"/>
    <s v="SustainabilityDrive"/>
    <x v="215"/>
  </r>
  <r>
    <s v="P057"/>
    <x v="1"/>
    <s v="2024-10-21"/>
    <s v="Video"/>
    <s v="Check out our latest video on twitter!"/>
    <n v="2825"/>
    <n v="535"/>
    <n v="295"/>
    <n v="45200"/>
    <n v="8.0862831858407078E-2"/>
    <n v="44739"/>
    <n v="169"/>
    <s v="#EVRevolution"/>
    <s v="#FutureOfDriving"/>
    <m/>
    <x v="216"/>
  </r>
  <r>
    <s v="P122"/>
    <x v="0"/>
    <s v="2024-10-02"/>
    <s v="Text"/>
    <s v="Check out our latest text on instagram!"/>
    <n v="3432"/>
    <n v="869"/>
    <n v="123"/>
    <n v="54912"/>
    <n v="8.0565268065268064E-2"/>
    <n v="53916"/>
    <n v="264"/>
    <s v="#TeslaCoInnovation"/>
    <s v="#FutureOfDriving"/>
    <m/>
    <x v="217"/>
  </r>
  <r>
    <s v="P022"/>
    <x v="3"/>
    <s v="2025-02-27"/>
    <s v="Text"/>
    <s v="Check out our latest text on facebook!"/>
    <n v="1570"/>
    <n v="187"/>
    <n v="260"/>
    <n v="25120"/>
    <n v="8.0294585987261149E-2"/>
    <n v="24613"/>
    <n v="133"/>
    <s v="#FutureOfDriving,#SmoothLikeNitroTesla"/>
    <s v="#TeslaCoInnovation"/>
    <s v="CybertruckLaunch"/>
    <x v="218"/>
  </r>
  <r>
    <s v="P118"/>
    <x v="3"/>
    <s v="2024-11-04"/>
    <s v="Image"/>
    <s v="Check out our latest image on facebook!"/>
    <n v="4551"/>
    <n v="714"/>
    <n v="207"/>
    <n v="68265"/>
    <n v="8.0158206987475278E-2"/>
    <n v="67754"/>
    <n v="57"/>
    <s v="#TeslaCoInnovation"/>
    <s v="#SmoothLikeNitroTesla"/>
    <m/>
    <x v="219"/>
  </r>
  <r>
    <s v="P257"/>
    <x v="3"/>
    <s v="2025-04-06"/>
    <s v="Image"/>
    <s v="Check out our latest image on facebook!"/>
    <n v="3090"/>
    <n v="697"/>
    <n v="164"/>
    <n v="49440"/>
    <n v="7.9915048543689318E-2"/>
    <n v="48524"/>
    <n v="25"/>
    <s v="#TeslaCoInnovation"/>
    <s v="#EVRevolution"/>
    <s v="FSDUpdate"/>
    <x v="220"/>
  </r>
  <r>
    <s v="P091"/>
    <x v="3"/>
    <s v="2025-03-24"/>
    <s v="Image"/>
    <s v="Check out our latest image on facebook!"/>
    <n v="1263"/>
    <n v="397"/>
    <n v="357"/>
    <n v="25260"/>
    <n v="7.984956452889945E-2"/>
    <n v="24615"/>
    <n v="137"/>
    <s v="#EVRevolution"/>
    <s v="#TeslaCoInnovation"/>
    <m/>
    <x v="218"/>
  </r>
  <r>
    <s v="P274"/>
    <x v="1"/>
    <s v="2025-01-01"/>
    <s v="Carousel"/>
    <s v="Check out our latest carousel on twitter!"/>
    <n v="3535"/>
    <n v="494"/>
    <n v="152"/>
    <n v="53025"/>
    <n v="7.8849599245638849E-2"/>
    <n v="52791"/>
    <n v="44"/>
    <s v="#TeslaCoInnovation"/>
    <s v="#SmoothLikeNitroTesla"/>
    <m/>
    <x v="221"/>
  </r>
  <r>
    <s v="P051"/>
    <x v="3"/>
    <s v="2024-06-13"/>
    <s v="Carousel"/>
    <s v="Check out our latest carousel on facebook!"/>
    <n v="2200"/>
    <n v="504"/>
    <n v="239"/>
    <n v="37400"/>
    <n v="7.8689839572192513E-2"/>
    <n v="36938"/>
    <n v="225"/>
    <s v="#FutureOfDriving"/>
    <s v="#TeslaCoInnovation"/>
    <s v="FSDUpdate"/>
    <x v="222"/>
  </r>
  <r>
    <s v="P080"/>
    <x v="0"/>
    <s v="2024-06-13"/>
    <s v="Story"/>
    <s v="Check out our latest story on instagram!"/>
    <n v="2103"/>
    <n v="892"/>
    <n v="103"/>
    <n v="39957"/>
    <n v="7.7533348349475686E-2"/>
    <n v="39466"/>
    <n v="28"/>
    <s v="#EVRevolution"/>
    <s v="#FutureOfDriving"/>
    <s v="CybertruckLaunch"/>
    <x v="223"/>
  </r>
  <r>
    <s v="P230"/>
    <x v="3"/>
    <s v="2024-07-15"/>
    <s v="Reel"/>
    <s v="Check out our latest reel on facebook!"/>
    <n v="3663"/>
    <n v="17"/>
    <n v="295"/>
    <n v="51282"/>
    <n v="7.7512577512577507E-2"/>
    <n v="50567"/>
    <n v="84"/>
    <s v="#TeslaCoInnovation"/>
    <s v="#AnytimeIsTeslaTime"/>
    <m/>
    <x v="224"/>
  </r>
  <r>
    <s v="P149"/>
    <x v="1"/>
    <s v="2024-06-16"/>
    <s v="Video"/>
    <s v="Check out our latest video on twitter!"/>
    <n v="1702"/>
    <n v="750"/>
    <n v="179"/>
    <n v="34040"/>
    <n v="7.7291421856639245E-2"/>
    <n v="33174"/>
    <n v="76"/>
    <s v="#EVRevolution"/>
    <s v="#FutureOfDriving"/>
    <s v="FSDUpdate"/>
    <x v="225"/>
  </r>
  <r>
    <s v="P021"/>
    <x v="0"/>
    <s v="2025-01-04"/>
    <s v="Reel"/>
    <s v="Check out our latest reel on instagram!"/>
    <n v="4838"/>
    <n v="640"/>
    <n v="128"/>
    <n v="72570"/>
    <n v="7.7249552156538517E-2"/>
    <n v="72396"/>
    <n v="83"/>
    <s v="#FutureOfDriving"/>
    <s v="#FutureOfDriving"/>
    <s v="CybertruckLaunch"/>
    <x v="226"/>
  </r>
  <r>
    <s v="P023"/>
    <x v="3"/>
    <s v="2024-11-06"/>
    <s v="Video"/>
    <s v="Check out our latest video on facebook!"/>
    <n v="1606"/>
    <n v="547"/>
    <n v="316"/>
    <n v="32120"/>
    <n v="7.6867995018679955E-2"/>
    <n v="31736"/>
    <n v="225"/>
    <s v="#EVRevolution"/>
    <s v="#TeslaCoInnovation"/>
    <s v="SustainabilityDrive"/>
    <x v="227"/>
  </r>
  <r>
    <s v="P036"/>
    <x v="0"/>
    <s v="2025-04-19"/>
    <s v="Story"/>
    <s v="Check out our latest story on instagram!"/>
    <n v="4518"/>
    <n v="285"/>
    <n v="383"/>
    <n v="67770"/>
    <n v="7.6523535487678915E-2"/>
    <n v="67621"/>
    <n v="31"/>
    <s v="#FutureOfDriving"/>
    <s v="#EVRevolution"/>
    <s v="SustainabilityDrive"/>
    <x v="228"/>
  </r>
  <r>
    <s v="P002"/>
    <x v="1"/>
    <s v="2025-04-03"/>
    <s v="Text"/>
    <s v="Check out our latest text on twitter!"/>
    <n v="4054"/>
    <n v="389"/>
    <n v="493"/>
    <n v="64864"/>
    <n v="7.6097681302417369E-2"/>
    <n v="64383"/>
    <n v="117"/>
    <s v="#TeslaCoInnovation"/>
    <s v="#FutureOfDriving"/>
    <m/>
    <x v="229"/>
  </r>
  <r>
    <s v="P234"/>
    <x v="3"/>
    <s v="2024-06-01"/>
    <s v="Text"/>
    <s v="Check out our latest text on facebook!"/>
    <n v="1272"/>
    <n v="465"/>
    <n v="99"/>
    <n v="24168"/>
    <n v="7.5968222442899705E-2"/>
    <n v="23719"/>
    <n v="42"/>
    <s v="#TeslaCoInnovation"/>
    <s v="#EVRevolution"/>
    <s v="FSDUpdate"/>
    <x v="230"/>
  </r>
  <r>
    <s v="P013"/>
    <x v="2"/>
    <s v="2024-11-18"/>
    <s v="Carousel"/>
    <s v="Check out our latest carousel on youtube!"/>
    <n v="1171"/>
    <n v="286"/>
    <n v="231"/>
    <n v="22249"/>
    <n v="7.5868578363072495E-2"/>
    <n v="21282"/>
    <n v="114"/>
    <s v="#FutureOfDriving,#AnytimeIsTeslaTime,#EVRevolution"/>
    <s v="#EVRevolution"/>
    <s v="ModelYCampaign"/>
    <x v="231"/>
  </r>
  <r>
    <s v="P016"/>
    <x v="3"/>
    <s v="2024-08-26"/>
    <s v="Text"/>
    <s v="Check out our latest text on facebook!"/>
    <n v="3452"/>
    <n v="377"/>
    <n v="360"/>
    <n v="55232"/>
    <n v="7.5843713789107758E-2"/>
    <n v="55075"/>
    <n v="87"/>
    <s v="#FutureOfDriving"/>
    <s v="#TeslaCoInnovation"/>
    <s v="CybertruckLaunch"/>
    <x v="232"/>
  </r>
  <r>
    <s v="P179"/>
    <x v="3"/>
    <s v="2024-07-15"/>
    <s v="Carousel"/>
    <s v="Check out our latest carousel on facebook!"/>
    <n v="3796"/>
    <n v="667"/>
    <n v="395"/>
    <n v="64532"/>
    <n v="7.5280481001673588E-2"/>
    <n v="63550"/>
    <n v="292"/>
    <s v="#FutureOfDriving"/>
    <s v="#TeslaCoInnovation"/>
    <s v="SustainabilityDrive"/>
    <x v="233"/>
  </r>
  <r>
    <s v="P045"/>
    <x v="3"/>
    <s v="2024-11-01"/>
    <s v="Video"/>
    <s v="Check out our latest video on facebook!"/>
    <n v="3371"/>
    <n v="106"/>
    <n v="327"/>
    <n v="50565"/>
    <n v="7.5229902106199939E-2"/>
    <n v="49816"/>
    <n v="176"/>
    <s v="#FutureOfDriving"/>
    <s v="#TeslaCoInnovation"/>
    <m/>
    <x v="234"/>
  </r>
  <r>
    <s v="P168"/>
    <x v="3"/>
    <s v="2024-11-12"/>
    <s v="Text"/>
    <s v="Check out our latest text on facebook!"/>
    <n v="2418"/>
    <n v="754"/>
    <n v="54"/>
    <n v="43524"/>
    <n v="7.412002573292896E-2"/>
    <n v="42743"/>
    <n v="182"/>
    <s v="#EVRevolution,#TeslaCoInnovation,#AnytimeIsTeslaTime"/>
    <s v="#EVRevolution"/>
    <s v="FSDUpdate"/>
    <x v="235"/>
  </r>
  <r>
    <s v="P111"/>
    <x v="2"/>
    <s v="2024-11-23"/>
    <s v="Image"/>
    <s v="Check out our latest image on youtube!"/>
    <n v="2719"/>
    <n v="17"/>
    <n v="285"/>
    <n v="40785"/>
    <n v="7.4071349760941527E-2"/>
    <n v="40281"/>
    <n v="40"/>
    <s v="#TeslaCoInnovation"/>
    <s v="#TeslaCoInnovation"/>
    <s v="SustainabilityDrive"/>
    <x v="236"/>
  </r>
  <r>
    <s v="P101"/>
    <x v="2"/>
    <s v="2024-10-18"/>
    <s v="Video"/>
    <s v="Check out our latest video on youtube!"/>
    <n v="4450"/>
    <n v="983"/>
    <n v="143"/>
    <n v="75650"/>
    <n v="7.3707865168539333E-2"/>
    <n v="75008"/>
    <n v="12"/>
    <s v="#EVRevolution"/>
    <s v="#FutureOfDriving"/>
    <s v="FSDUpdate"/>
    <x v="237"/>
  </r>
  <r>
    <s v="P048"/>
    <x v="1"/>
    <s v="2025-03-11"/>
    <s v="Story"/>
    <s v="Check out our latest story on twitter!"/>
    <n v="1950"/>
    <n v="295"/>
    <n v="478"/>
    <n v="37050"/>
    <n v="7.349527665317139E-2"/>
    <n v="36272"/>
    <n v="119"/>
    <s v="#FutureOfDriving"/>
    <s v="#SmoothLikeNitroTesla"/>
    <s v="SustainabilityDrive"/>
    <x v="238"/>
  </r>
  <r>
    <s v="P250"/>
    <x v="3"/>
    <s v="2024-06-22"/>
    <s v="Reel"/>
    <s v="Check out our latest reel on facebook!"/>
    <n v="3813"/>
    <n v="935"/>
    <n v="274"/>
    <n v="68634"/>
    <n v="7.3170731707317069E-2"/>
    <n v="68488"/>
    <n v="251"/>
    <s v="#FutureOfDriving"/>
    <s v="#TeslaCoInnovation"/>
    <s v="FSDUpdate"/>
    <x v="174"/>
  </r>
  <r>
    <s v="P289"/>
    <x v="3"/>
    <s v="2024-11-28"/>
    <s v="Carousel"/>
    <s v="Check out our latest carousel on facebook!"/>
    <n v="2751"/>
    <n v="33"/>
    <n v="430"/>
    <n v="44016"/>
    <n v="7.3018902217375503E-2"/>
    <n v="43415"/>
    <n v="129"/>
    <s v="#EVRevolution"/>
    <s v="#TeslaCoInnovation"/>
    <s v="CybertruckLaunch"/>
    <x v="239"/>
  </r>
  <r>
    <s v="P233"/>
    <x v="3"/>
    <s v="2025-03-08"/>
    <s v="Image"/>
    <s v="Check out our latest image on facebook!"/>
    <n v="2382"/>
    <n v="265"/>
    <n v="134"/>
    <n v="38112"/>
    <n v="7.2969143576826198E-2"/>
    <n v="37437"/>
    <n v="249"/>
    <s v="#FutureOfDriving"/>
    <s v="#EVRevolution"/>
    <s v="ModelYCampaign"/>
    <x v="240"/>
  </r>
  <r>
    <s v="P172"/>
    <x v="3"/>
    <s v="2024-08-14"/>
    <s v="Carousel"/>
    <s v="Check out our latest carousel on facebook!"/>
    <n v="3073"/>
    <n v="553"/>
    <n v="174"/>
    <n v="52241"/>
    <n v="7.2739802071170159E-2"/>
    <n v="51605"/>
    <n v="246"/>
    <s v="#FutureOfDriving,#EVRevolution,#BetterWithTesla"/>
    <s v="#TeslaCoInnovation"/>
    <m/>
    <x v="241"/>
  </r>
  <r>
    <s v="P238"/>
    <x v="1"/>
    <s v="2024-07-16"/>
    <s v="Text"/>
    <s v="Check out our latest text on twitter!"/>
    <n v="4725"/>
    <n v="400"/>
    <n v="362"/>
    <n v="75600"/>
    <n v="7.2579365079365077E-2"/>
    <n v="74927"/>
    <n v="43"/>
    <s v="#EVRevolution"/>
    <s v="#FutureOfDriving"/>
    <m/>
    <x v="242"/>
  </r>
  <r>
    <s v="P189"/>
    <x v="3"/>
    <s v="2025-03-24"/>
    <s v="Reel"/>
    <s v="Check out our latest reel on facebook!"/>
    <n v="3360"/>
    <n v="525"/>
    <n v="500"/>
    <n v="60480"/>
    <n v="7.2503306878306875E-2"/>
    <n v="59610"/>
    <n v="192"/>
    <s v="#EVRevolution"/>
    <s v="#EVRevolution"/>
    <s v="ModelYCampaign"/>
    <x v="243"/>
  </r>
  <r>
    <s v="P039"/>
    <x v="3"/>
    <s v="2024-11-25"/>
    <s v="Image"/>
    <s v="Check out our latest image on facebook!"/>
    <n v="3564"/>
    <n v="629"/>
    <n v="177"/>
    <n v="60588"/>
    <n v="7.2126493695121141E-2"/>
    <n v="59627"/>
    <n v="92"/>
    <s v="#FutureOfDriving"/>
    <s v="#TeslaCoInnovation"/>
    <m/>
    <x v="244"/>
  </r>
  <r>
    <s v="P215"/>
    <x v="3"/>
    <s v="2025-05-06"/>
    <s v="Image"/>
    <s v="Check out our latest image on facebook!"/>
    <n v="4872"/>
    <n v="925"/>
    <n v="176"/>
    <n v="82824"/>
    <n v="7.2116777745580993E-2"/>
    <n v="82543"/>
    <n v="89"/>
    <s v="#FutureOfDriving"/>
    <s v="#EVRevolution"/>
    <m/>
    <x v="245"/>
  </r>
  <r>
    <s v="P024"/>
    <x v="3"/>
    <s v="2025-01-23"/>
    <s v="Video"/>
    <s v="Check out our latest video on facebook!"/>
    <n v="3961"/>
    <n v="761"/>
    <n v="131"/>
    <n v="67337"/>
    <n v="7.2070332803659209E-2"/>
    <n v="66615"/>
    <n v="161"/>
    <s v="#FutureOfDriving"/>
    <s v="#FutureOfDriving"/>
    <s v="FSDUpdate"/>
    <x v="246"/>
  </r>
  <r>
    <s v="P099"/>
    <x v="2"/>
    <s v="2024-07-02"/>
    <s v="Carousel"/>
    <s v="Check out our latest carousel on youtube!"/>
    <n v="4171"/>
    <n v="548"/>
    <n v="86"/>
    <n v="66736"/>
    <n v="7.2000119875329657E-2"/>
    <n v="66634"/>
    <n v="173"/>
    <s v="#EVRevolution"/>
    <s v="#EVRevolution"/>
    <m/>
    <x v="247"/>
  </r>
  <r>
    <s v="P010"/>
    <x v="3"/>
    <s v="2025-03-11"/>
    <s v="Image"/>
    <s v="Check out our latest image on facebook!"/>
    <n v="4241"/>
    <n v="902"/>
    <n v="47"/>
    <n v="72097"/>
    <n v="7.198635172059864E-2"/>
    <n v="71598"/>
    <n v="167"/>
    <s v="#FutureOfDriving"/>
    <s v="#FutureOfDriving"/>
    <s v="ModelYCampaign"/>
    <x v="248"/>
  </r>
  <r>
    <s v="P291"/>
    <x v="3"/>
    <s v="2024-11-06"/>
    <s v="Video"/>
    <s v="Check out our latest video on facebook!"/>
    <n v="4663"/>
    <n v="145"/>
    <n v="225"/>
    <n v="69945"/>
    <n v="7.1956537279290869E-2"/>
    <n v="69596"/>
    <n v="35"/>
    <s v="#FutureOfDriving"/>
    <s v="#TeslaCoInnovation"/>
    <s v="SustainabilityDrive"/>
    <x v="249"/>
  </r>
  <r>
    <s v="P133"/>
    <x v="3"/>
    <s v="2025-02-06"/>
    <s v="Image"/>
    <s v="Check out our latest image on facebook!"/>
    <n v="2072"/>
    <n v="532"/>
    <n v="71"/>
    <n v="37296"/>
    <n v="7.172350922350923E-2"/>
    <n v="36467"/>
    <n v="25"/>
    <s v="#EVRevolution"/>
    <s v="#TeslaCoInnovation"/>
    <s v="ModelYCampaign"/>
    <x v="250"/>
  </r>
  <r>
    <s v="P027"/>
    <x v="2"/>
    <s v="2024-09-17"/>
    <s v="Text"/>
    <s v="Check out our latest text on youtube!"/>
    <n v="2076"/>
    <n v="195"/>
    <n v="104"/>
    <n v="33216"/>
    <n v="7.1501685934489398E-2"/>
    <n v="32244"/>
    <n v="51"/>
    <s v="#EVRevolution,#EVRevolution,#BetterWithTesla"/>
    <s v="#FutureOfDriving"/>
    <s v="ModelYCampaign"/>
    <x v="251"/>
  </r>
  <r>
    <s v="P134"/>
    <x v="1"/>
    <s v="2025-04-24"/>
    <s v="Reel"/>
    <s v="Check out our latest reel on twitter!"/>
    <n v="3731"/>
    <n v="115"/>
    <n v="135"/>
    <n v="55965"/>
    <n v="7.1133744304476013E-2"/>
    <n v="55436"/>
    <n v="103"/>
    <s v="#EVRevolution"/>
    <s v="#AnytimeIsTeslaTime"/>
    <s v="ModelYCampaign"/>
    <x v="90"/>
  </r>
  <r>
    <s v="P090"/>
    <x v="0"/>
    <s v="2024-06-03"/>
    <s v="Image"/>
    <s v="Check out our latest image on instagram!"/>
    <n v="3861"/>
    <n v="960"/>
    <n v="101"/>
    <n v="69498"/>
    <n v="7.0822181933293038E-2"/>
    <n v="68817"/>
    <n v="297"/>
    <s v="#TeslaCoInnovation"/>
    <s v="#EVRevolution"/>
    <s v="CybertruckLaunch"/>
    <x v="252"/>
  </r>
  <r>
    <s v="P034"/>
    <x v="3"/>
    <s v="2025-03-26"/>
    <s v="Text"/>
    <s v="Check out our latest text on facebook!"/>
    <n v="1652"/>
    <n v="89"/>
    <n v="357"/>
    <n v="29736"/>
    <n v="7.055421038471886E-2"/>
    <n v="28771"/>
    <n v="215"/>
    <s v="#TeslaCoInnovation,#EVRevolution,#BetterWithTesla"/>
    <s v="#FutureOfDriving"/>
    <s v="FSDUpdate"/>
    <x v="253"/>
  </r>
  <r>
    <s v="P007"/>
    <x v="1"/>
    <s v="2024-06-24"/>
    <s v="Carousel"/>
    <s v="Check out our latest carousel on twitter!"/>
    <n v="3860"/>
    <n v="201"/>
    <n v="279"/>
    <n v="61760"/>
    <n v="7.0272020725388601E-2"/>
    <n v="61660"/>
    <n v="235"/>
    <s v="#EVRevolution"/>
    <s v="#FutureOfDriving"/>
    <s v="CybertruckLaunch"/>
    <x v="254"/>
  </r>
  <r>
    <s v="P142"/>
    <x v="2"/>
    <s v="2025-03-25"/>
    <s v="Story"/>
    <s v="Check out our latest story on youtube!"/>
    <n v="2070"/>
    <n v="275"/>
    <n v="386"/>
    <n v="39330"/>
    <n v="6.9438087973557078E-2"/>
    <n v="38627"/>
    <n v="114"/>
    <s v="#TeslaCoInnovation"/>
    <s v="#FutureOfDriving"/>
    <m/>
    <x v="255"/>
  </r>
  <r>
    <s v="P127"/>
    <x v="3"/>
    <s v="2025-01-27"/>
    <s v="Reel"/>
    <s v="Check out our latest reel on facebook!"/>
    <n v="3452"/>
    <n v="652"/>
    <n v="442"/>
    <n v="65588"/>
    <n v="6.9311459413307311E-2"/>
    <n v="65049"/>
    <n v="158"/>
    <s v="#FutureOfDriving"/>
    <s v="#EVRevolution"/>
    <s v="ModelYCampaign"/>
    <x v="256"/>
  </r>
  <r>
    <s v="P170"/>
    <x v="1"/>
    <s v="2025-04-28"/>
    <s v="Text"/>
    <s v="Check out our latest text on twitter!"/>
    <n v="3577"/>
    <n v="596"/>
    <n v="493"/>
    <n v="67963"/>
    <n v="6.8655003457763777E-2"/>
    <n v="67839"/>
    <n v="53"/>
    <s v="#TeslaCoInnovation"/>
    <s v="#TeslaCoInnovation"/>
    <s v="ModelYCampaign"/>
    <x v="257"/>
  </r>
  <r>
    <s v="P095"/>
    <x v="0"/>
    <s v="2024-11-08"/>
    <s v="Text"/>
    <s v="Check out our latest text on instagram!"/>
    <n v="3182"/>
    <n v="559"/>
    <n v="160"/>
    <n v="57276"/>
    <n v="6.8108806480899509E-2"/>
    <n v="56890"/>
    <n v="163"/>
    <s v="#EVRevolution"/>
    <s v="#AnytimeIsTeslaTime"/>
    <s v="SustainabilityDrive"/>
    <x v="258"/>
  </r>
  <r>
    <s v="P288"/>
    <x v="2"/>
    <s v="2025-04-17"/>
    <s v="Carousel"/>
    <s v="Check out our latest carousel on youtube!"/>
    <n v="4780"/>
    <n v="691"/>
    <n v="380"/>
    <n v="86040"/>
    <n v="6.800325430032543E-2"/>
    <n v="85743"/>
    <n v="262"/>
    <s v="#TeslaCoInnovation"/>
    <s v="#TeslaCoInnovation"/>
    <s v="FSDUpdate"/>
    <x v="259"/>
  </r>
  <r>
    <s v="P237"/>
    <x v="0"/>
    <s v="2024-10-22"/>
    <s v="Story"/>
    <s v="Check out our latest story on instagram!"/>
    <n v="3770"/>
    <n v="917"/>
    <n v="129"/>
    <n v="71630"/>
    <n v="6.7234398994834563E-2"/>
    <n v="71322"/>
    <n v="76"/>
    <s v="#FutureOfDriving"/>
    <s v="#EVRevolution"/>
    <m/>
    <x v="260"/>
  </r>
  <r>
    <s v="P270"/>
    <x v="2"/>
    <s v="2025-01-15"/>
    <s v="Reel"/>
    <s v="Check out our latest reel on youtube!"/>
    <n v="3774"/>
    <n v="239"/>
    <n v="39"/>
    <n v="60384"/>
    <n v="6.7103868574456813E-2"/>
    <n v="59490"/>
    <n v="241"/>
    <s v="#EVRevolution"/>
    <s v="#FutureOfDriving"/>
    <s v="CybertruckLaunch"/>
    <x v="261"/>
  </r>
  <r>
    <s v="P005"/>
    <x v="2"/>
    <s v="2024-06-26"/>
    <s v="Reel"/>
    <s v="Check out our latest reel on youtube!"/>
    <n v="3557"/>
    <n v="687"/>
    <n v="424"/>
    <n v="71140"/>
    <n v="6.5617093055946027E-2"/>
    <n v="70701"/>
    <n v="224"/>
    <s v="#TeslaCoInnovation"/>
    <s v="#FutureOfDriving"/>
    <s v="ModelYCampaign"/>
    <x v="262"/>
  </r>
  <r>
    <s v="P086"/>
    <x v="2"/>
    <s v="2025-01-27"/>
    <s v="Text"/>
    <s v="Check out our latest text on youtube!"/>
    <n v="3428"/>
    <n v="305"/>
    <n v="85"/>
    <n v="58276"/>
    <n v="6.5515821264328367E-2"/>
    <n v="58052"/>
    <n v="242"/>
    <s v="#TeslaCoInnovation"/>
    <s v="#EVRevolution"/>
    <s v="FSDUpdate"/>
    <x v="263"/>
  </r>
  <r>
    <s v="P144"/>
    <x v="2"/>
    <s v="2024-10-28"/>
    <s v="Story"/>
    <s v="Check out our latest story on youtube!"/>
    <n v="4929"/>
    <n v="749"/>
    <n v="452"/>
    <n v="93651"/>
    <n v="6.5455787978772245E-2"/>
    <n v="92810"/>
    <n v="66"/>
    <s v="#EVRevolution"/>
    <s v="#FutureOfDriving"/>
    <s v="ModelYCampaign"/>
    <x v="264"/>
  </r>
  <r>
    <s v="P197"/>
    <x v="1"/>
    <s v="2024-10-22"/>
    <s v="Reel"/>
    <s v="Check out our latest reel on twitter!"/>
    <n v="4782"/>
    <n v="721"/>
    <n v="82"/>
    <n v="86076"/>
    <n v="6.4884520656164318E-2"/>
    <n v="85339"/>
    <n v="19"/>
    <s v="#TeslaCoInnovation"/>
    <s v="#FutureOfDriving"/>
    <s v="FSDUpdate"/>
    <x v="265"/>
  </r>
  <r>
    <s v="P135"/>
    <x v="3"/>
    <s v="2024-11-28"/>
    <s v="Text"/>
    <s v="Check out our latest text on facebook!"/>
    <n v="4213"/>
    <n v="253"/>
    <n v="434"/>
    <n v="75834"/>
    <n v="6.461481657304112E-2"/>
    <n v="75437"/>
    <n v="272"/>
    <s v="#EVRevolution"/>
    <s v="#EVRevolution"/>
    <s v="SustainabilityDrive"/>
    <x v="266"/>
  </r>
  <r>
    <s v="P073"/>
    <x v="3"/>
    <s v="2024-10-18"/>
    <s v="Story"/>
    <s v="Check out our latest story on facebook!"/>
    <n v="4126"/>
    <n v="426"/>
    <n v="486"/>
    <n v="78394"/>
    <n v="6.4265122330790625E-2"/>
    <n v="77798"/>
    <n v="88"/>
    <s v="#TeslaCoInnovation"/>
    <s v="#BetterWithTesla"/>
    <s v="SustainabilityDrive"/>
    <x v="267"/>
  </r>
  <r>
    <s v="P267"/>
    <x v="1"/>
    <s v="2024-10-04"/>
    <s v="Reel"/>
    <s v="Check out our latest reel on twitter!"/>
    <n v="4187"/>
    <n v="66"/>
    <n v="31"/>
    <n v="66992"/>
    <n v="6.3947934081681396E-2"/>
    <n v="66614"/>
    <n v="62"/>
    <s v="#EVRevolution"/>
    <s v="#EVRevolution"/>
    <s v="FSDUpdate"/>
    <x v="268"/>
  </r>
  <r>
    <s v="P020"/>
    <x v="0"/>
    <s v="2024-09-09"/>
    <s v="Carousel"/>
    <s v="Check out our latest carousel on instagram!"/>
    <n v="4054"/>
    <n v="488"/>
    <n v="373"/>
    <n v="77026"/>
    <n v="6.3809622724794221E-2"/>
    <n v="76881"/>
    <n v="25"/>
    <s v="#TeslaCoInnovation"/>
    <s v="#EVRevolution"/>
    <s v="ModelYCampaign"/>
    <x v="269"/>
  </r>
  <r>
    <s v="P067"/>
    <x v="3"/>
    <s v="2025-03-29"/>
    <s v="Carousel"/>
    <s v="Check out our latest carousel on facebook!"/>
    <n v="4712"/>
    <n v="568"/>
    <n v="127"/>
    <n v="84816"/>
    <n v="6.3749764195434822E-2"/>
    <n v="84691"/>
    <n v="100"/>
    <s v="#FutureOfDriving"/>
    <s v="#FutureOfDriving"/>
    <s v="CybertruckLaunch"/>
    <x v="270"/>
  </r>
  <r>
    <s v="P150"/>
    <x v="2"/>
    <s v="2024-08-22"/>
    <s v="Carousel"/>
    <s v="Check out our latest carousel on youtube!"/>
    <n v="4295"/>
    <n v="853"/>
    <n v="325"/>
    <n v="85900"/>
    <n v="6.3713620488940623E-2"/>
    <n v="85788"/>
    <n v="290"/>
    <s v="#EVRevolution"/>
    <s v="#FutureOfDriving"/>
    <s v="SustainabilityDrive"/>
    <x v="271"/>
  </r>
  <r>
    <s v="P281"/>
    <x v="2"/>
    <s v="2025-03-22"/>
    <s v="Image"/>
    <s v="Check out our latest image on youtube!"/>
    <n v="3166"/>
    <n v="90"/>
    <n v="341"/>
    <n v="56988"/>
    <n v="6.3118551273952411E-2"/>
    <n v="56125"/>
    <n v="135"/>
    <s v="#TeslaCoInnovation"/>
    <s v="#FutureOfDriving"/>
    <s v="ModelYCampaign"/>
    <x v="272"/>
  </r>
  <r>
    <s v="P217"/>
    <x v="3"/>
    <s v="2024-12-03"/>
    <s v="Image"/>
    <s v="Check out our latest image on facebook!"/>
    <n v="4606"/>
    <n v="931"/>
    <n v="230"/>
    <n v="92120"/>
    <n v="6.2603126356925748E-2"/>
    <n v="91440"/>
    <n v="56"/>
    <s v="#EVRevolution,#TeslaCoInnovation,#AnytimeIsTeslaTime"/>
    <s v="#EVRevolution"/>
    <s v="SustainabilityDrive"/>
    <x v="273"/>
  </r>
  <r>
    <s v="P200"/>
    <x v="3"/>
    <s v="2025-04-07"/>
    <s v="Reel"/>
    <s v="Check out our latest reel on facebook!"/>
    <n v="3718"/>
    <n v="385"/>
    <n v="310"/>
    <n v="70642"/>
    <n v="6.246991874522239E-2"/>
    <n v="69749"/>
    <n v="233"/>
    <s v="#EVRevolution"/>
    <s v="#FutureOfDriving"/>
    <s v="ModelYCampaign"/>
    <x v="274"/>
  </r>
  <r>
    <s v="P107"/>
    <x v="2"/>
    <s v="2024-06-21"/>
    <s v="Image"/>
    <s v="Check out our latest image on youtube!"/>
    <n v="4832"/>
    <n v="893"/>
    <n v="10"/>
    <n v="91808"/>
    <n v="6.2467323109097243E-2"/>
    <n v="91296"/>
    <n v="182"/>
    <s v="#FutureOfDriving"/>
    <s v="#FutureOfDriving"/>
    <s v="FSDUpdate"/>
    <x v="275"/>
  </r>
  <r>
    <s v="P115"/>
    <x v="1"/>
    <s v="2025-05-11"/>
    <s v="Image"/>
    <s v="Check out our latest image on twitter!"/>
    <n v="2493"/>
    <n v="97"/>
    <n v="44"/>
    <n v="42381"/>
    <n v="6.2150491965739366E-2"/>
    <n v="41991"/>
    <n v="242"/>
    <s v="#FutureOfDriving"/>
    <s v="#EVRevolution"/>
    <s v="ModelYCampaign"/>
    <x v="84"/>
  </r>
  <r>
    <s v="P223"/>
    <x v="1"/>
    <s v="2024-11-12"/>
    <s v="Image"/>
    <s v="Check out our latest image on twitter!"/>
    <n v="3338"/>
    <n v="277"/>
    <n v="118"/>
    <n v="60084"/>
    <n v="6.2129685107516146E-2"/>
    <n v="59842"/>
    <n v="252"/>
    <s v="#TeslaCoInnovation"/>
    <s v="#EVRevolution"/>
    <s v="SustainabilityDrive"/>
    <x v="276"/>
  </r>
  <r>
    <s v="P279"/>
    <x v="2"/>
    <s v="2024-09-02"/>
    <s v="Image"/>
    <s v="Check out our latest image on youtube!"/>
    <n v="4905"/>
    <n v="845"/>
    <n v="129"/>
    <n v="98100"/>
    <n v="5.9928644240570844E-2"/>
    <n v="97772"/>
    <n v="279"/>
    <s v="#EVRevolution"/>
    <s v="#EVRevolution"/>
    <m/>
    <x v="277"/>
  </r>
  <r>
    <s v="P025"/>
    <x v="1"/>
    <s v="2025-04-10"/>
    <s v="Carousel"/>
    <s v="Check out our latest carousel on twitter!"/>
    <n v="3128"/>
    <n v="211"/>
    <n v="197"/>
    <n v="59432"/>
    <n v="5.9496567505720827E-2"/>
    <n v="59182"/>
    <n v="238"/>
    <s v="#FutureOfDriving"/>
    <s v="#BetterWithTesla"/>
    <s v="FSDUpdate"/>
    <x v="278"/>
  </r>
  <r>
    <s v="P015"/>
    <x v="3"/>
    <s v="2024-10-24"/>
    <s v="Video"/>
    <s v="Check out our latest video on facebook!"/>
    <n v="3888"/>
    <n v="604"/>
    <n v="128"/>
    <n v="77760"/>
    <n v="5.941358024691358E-2"/>
    <n v="77167"/>
    <n v="20"/>
    <s v="#EVRevolution"/>
    <s v="#EVRevolution"/>
    <s v="CybertruckLaunch"/>
    <x v="279"/>
  </r>
  <r>
    <s v="P296"/>
    <x v="1"/>
    <s v="2025-02-11"/>
    <s v="Video"/>
    <s v="Check out our latest video on twitter!"/>
    <n v="3440"/>
    <n v="13"/>
    <n v="20"/>
    <n v="58480"/>
    <n v="5.9387824897400819E-2"/>
    <n v="58146"/>
    <n v="210"/>
    <s v="#FutureOfDriving"/>
    <s v="#TeslaCoInnovation"/>
    <s v="FSDUpdate"/>
    <x v="280"/>
  </r>
  <r>
    <s v="P298"/>
    <x v="3"/>
    <s v="2024-10-24"/>
    <s v="Image"/>
    <s v="Check out our latest image on facebook!"/>
    <n v="4303"/>
    <n v="451"/>
    <n v="286"/>
    <n v="86060"/>
    <n v="5.8563792702765516E-2"/>
    <n v="85823"/>
    <n v="14"/>
    <s v="#FutureOfDriving"/>
    <s v="#TeslaCoInnovation"/>
    <m/>
    <x v="281"/>
  </r>
  <r>
    <s v="P216"/>
    <x v="2"/>
    <s v="2024-07-29"/>
    <s v="Story"/>
    <s v="Check out our latest story on youtube!"/>
    <n v="1509"/>
    <n v="88"/>
    <n v="163"/>
    <n v="30180"/>
    <n v="5.8316766070245198E-2"/>
    <n v="29689"/>
    <n v="119"/>
    <s v="#EVRevolution"/>
    <s v="#EVRevolution"/>
    <s v="SustainabilityDrive"/>
    <x v="282"/>
  </r>
  <r>
    <s v="P283"/>
    <x v="1"/>
    <s v="2025-05-09"/>
    <s v="Reel"/>
    <s v="Check out our latest reel on twitter!"/>
    <n v="3367"/>
    <n v="302"/>
    <n v="57"/>
    <n v="63973"/>
    <n v="5.8243321401216137E-2"/>
    <n v="63789"/>
    <n v="157"/>
    <s v="#EVRevolution"/>
    <s v="#BetterWithTesla"/>
    <s v="SustainabilityDrive"/>
    <x v="283"/>
  </r>
  <r>
    <s v="P256"/>
    <x v="2"/>
    <s v="2024-09-18"/>
    <s v="Carousel"/>
    <s v="Check out our latest carousel on youtube!"/>
    <n v="2143"/>
    <n v="12"/>
    <n v="204"/>
    <n v="40717"/>
    <n v="5.7936488444630008E-2"/>
    <n v="40125"/>
    <n v="248"/>
    <s v="#TeslaCoInnovation,#AnytimeIsTeslaTime"/>
    <s v="#EVRevolution"/>
    <m/>
    <x v="284"/>
  </r>
  <r>
    <s v="P030"/>
    <x v="0"/>
    <s v="2025-02-25"/>
    <s v="Video"/>
    <s v="Check out our latest video on instagram!"/>
    <n v="3095"/>
    <n v="39"/>
    <n v="78"/>
    <n v="55710"/>
    <n v="5.7655717106444085E-2"/>
    <n v="54808"/>
    <n v="93"/>
    <s v="#EVRevolution"/>
    <s v="#TeslaCoInnovation"/>
    <s v="CybertruckLaunch"/>
    <x v="285"/>
  </r>
  <r>
    <s v="P203"/>
    <x v="0"/>
    <s v="2024-11-21"/>
    <s v="Carousel"/>
    <s v="Check out our latest carousel on instagram!"/>
    <n v="3773"/>
    <n v="299"/>
    <n v="38"/>
    <n v="71687"/>
    <n v="5.7332570758993957E-2"/>
    <n v="71447"/>
    <n v="286"/>
    <s v="#EVRevolution"/>
    <s v="#FutureOfDriving"/>
    <s v="FSDUpdate"/>
    <x v="286"/>
  </r>
  <r>
    <s v="P225"/>
    <x v="1"/>
    <s v="2024-06-20"/>
    <s v="Carousel"/>
    <s v="Check out our latest carousel on twitter!"/>
    <n v="4672"/>
    <n v="325"/>
    <n v="32"/>
    <n v="88768"/>
    <n v="5.6653298485940883E-2"/>
    <n v="87833"/>
    <n v="118"/>
    <s v="#FutureOfDriving,#TeslaCoInnovation,#AnytimeIsTeslaTime"/>
    <s v="#TeslaCoInnovation"/>
    <s v="ModelYCampaign"/>
    <x v="287"/>
  </r>
  <r>
    <s v="P145"/>
    <x v="0"/>
    <s v="2024-08-12"/>
    <s v="Carousel"/>
    <s v="Check out our latest carousel on instagram!"/>
    <n v="1878"/>
    <n v="62"/>
    <n v="179"/>
    <n v="37560"/>
    <n v="5.6416400425985093E-2"/>
    <n v="36874"/>
    <n v="142"/>
    <s v="#TeslaCoInnovation,#SmoothLikeNitroTesla"/>
    <s v="#EVRevolution"/>
    <s v="SustainabilityDrive"/>
    <x v="288"/>
  </r>
  <r>
    <s v="P190"/>
    <x v="2"/>
    <s v="2024-10-04"/>
    <s v="Text"/>
    <s v="Check out our latest text on youtube!"/>
    <n v="1963"/>
    <n v="213"/>
    <n v="19"/>
    <n v="39260"/>
    <n v="5.5909322465613857E-2"/>
    <n v="38771"/>
    <n v="145"/>
    <s v="#EVRevolution"/>
    <s v="#TeslaCoInnovation"/>
    <s v="SustainabilityDrive"/>
    <x v="289"/>
  </r>
  <r>
    <s v="P003"/>
    <x v="2"/>
    <s v="2025-05-12"/>
    <s v="Reel"/>
    <s v="Check out our latest reel on youtube!"/>
    <n v="2795"/>
    <n v="105"/>
    <n v="49"/>
    <n v="53105"/>
    <n v="5.5531494209584788E-2"/>
    <n v="52307"/>
    <n v="204"/>
    <s v="#TeslaCoInnovation"/>
    <s v="#FutureOfDriving"/>
    <s v="FSDUpdate"/>
    <x v="290"/>
  </r>
  <r>
    <s v="P176"/>
    <x v="3"/>
    <s v="2024-06-20"/>
    <s v="Video"/>
    <s v="Check out our latest video on facebook!"/>
    <n v="3798"/>
    <n v="31"/>
    <n v="279"/>
    <n v="75960"/>
    <n v="5.4081095313322801E-2"/>
    <n v="75813"/>
    <n v="266"/>
    <s v="#FutureOfDriving"/>
    <s v="#EVRevolution"/>
    <s v="FSDUpdate"/>
    <x v="291"/>
  </r>
  <r>
    <s v="P063"/>
    <x v="1"/>
    <s v="2024-07-31"/>
    <s v="Carousel"/>
    <s v="Check out our latest carousel on twitter!"/>
    <n v="4507"/>
    <n v="217"/>
    <n v="13"/>
    <n v="90140"/>
    <n v="5.2551586421122697E-2"/>
    <n v="89591"/>
    <n v="125"/>
    <s v="#TeslaCoInnovation,#EVRevolution,#BetterWithTesla"/>
    <s v="#TeslaCoInnovation"/>
    <s v="CybertruckLaunch"/>
    <x v="292"/>
  </r>
  <r>
    <m/>
    <x v="4"/>
    <m/>
    <m/>
    <m/>
    <m/>
    <m/>
    <m/>
    <m/>
    <m/>
    <m/>
    <m/>
    <m/>
    <s v="#TeslaCoInnovation"/>
    <m/>
    <x v="293"/>
  </r>
  <r>
    <m/>
    <x v="4"/>
    <m/>
    <m/>
    <m/>
    <m/>
    <m/>
    <m/>
    <m/>
    <m/>
    <m/>
    <m/>
    <m/>
    <s v="#EVRevolution"/>
    <m/>
    <x v="293"/>
  </r>
  <r>
    <m/>
    <x v="4"/>
    <m/>
    <m/>
    <m/>
    <m/>
    <m/>
    <m/>
    <m/>
    <m/>
    <m/>
    <m/>
    <m/>
    <s v="#TeslaCoInnovation"/>
    <m/>
    <x v="293"/>
  </r>
  <r>
    <m/>
    <x v="4"/>
    <m/>
    <m/>
    <m/>
    <m/>
    <m/>
    <m/>
    <m/>
    <m/>
    <m/>
    <m/>
    <m/>
    <s v="#EVRevolution"/>
    <m/>
    <x v="293"/>
  </r>
  <r>
    <m/>
    <x v="4"/>
    <m/>
    <m/>
    <m/>
    <m/>
    <m/>
    <m/>
    <m/>
    <m/>
    <m/>
    <m/>
    <m/>
    <s v="#TeslaCoInnovation"/>
    <m/>
    <x v="293"/>
  </r>
  <r>
    <m/>
    <x v="4"/>
    <m/>
    <m/>
    <m/>
    <m/>
    <m/>
    <m/>
    <m/>
    <m/>
    <m/>
    <m/>
    <m/>
    <s v="#EVRevolution"/>
    <m/>
    <x v="293"/>
  </r>
  <r>
    <m/>
    <x v="4"/>
    <m/>
    <m/>
    <m/>
    <m/>
    <m/>
    <m/>
    <m/>
    <m/>
    <m/>
    <m/>
    <m/>
    <s v="#TeslaCoInnovation"/>
    <m/>
    <x v="293"/>
  </r>
  <r>
    <m/>
    <x v="4"/>
    <m/>
    <m/>
    <m/>
    <m/>
    <m/>
    <m/>
    <m/>
    <m/>
    <m/>
    <m/>
    <m/>
    <s v="#FutureOfDriving"/>
    <m/>
    <x v="293"/>
  </r>
  <r>
    <m/>
    <x v="4"/>
    <m/>
    <m/>
    <m/>
    <m/>
    <m/>
    <m/>
    <m/>
    <m/>
    <m/>
    <m/>
    <m/>
    <s v="#EVRevolution"/>
    <m/>
    <x v="293"/>
  </r>
  <r>
    <m/>
    <x v="4"/>
    <m/>
    <m/>
    <m/>
    <m/>
    <m/>
    <m/>
    <m/>
    <m/>
    <m/>
    <m/>
    <m/>
    <s v="#TeslaCoInnovation"/>
    <m/>
    <x v="293"/>
  </r>
  <r>
    <m/>
    <x v="4"/>
    <m/>
    <m/>
    <m/>
    <m/>
    <m/>
    <m/>
    <m/>
    <m/>
    <m/>
    <m/>
    <m/>
    <s v="#EVRevolution"/>
    <m/>
    <x v="293"/>
  </r>
  <r>
    <m/>
    <x v="4"/>
    <m/>
    <m/>
    <m/>
    <m/>
    <m/>
    <m/>
    <m/>
    <m/>
    <m/>
    <m/>
    <m/>
    <s v="#TeslaCoInnovation"/>
    <m/>
    <x v="293"/>
  </r>
  <r>
    <m/>
    <x v="4"/>
    <m/>
    <m/>
    <m/>
    <m/>
    <m/>
    <m/>
    <m/>
    <m/>
    <m/>
    <m/>
    <m/>
    <s v="#AnytimeIsTeslaTime"/>
    <m/>
    <x v="293"/>
  </r>
  <r>
    <m/>
    <x v="4"/>
    <m/>
    <m/>
    <m/>
    <m/>
    <m/>
    <m/>
    <m/>
    <m/>
    <m/>
    <m/>
    <m/>
    <s v="#EVRevolution"/>
    <m/>
    <x v="293"/>
  </r>
  <r>
    <m/>
    <x v="4"/>
    <m/>
    <m/>
    <m/>
    <m/>
    <m/>
    <m/>
    <m/>
    <m/>
    <m/>
    <m/>
    <m/>
    <s v="#FutureOfDriving"/>
    <m/>
    <x v="293"/>
  </r>
  <r>
    <m/>
    <x v="4"/>
    <m/>
    <m/>
    <m/>
    <m/>
    <m/>
    <m/>
    <m/>
    <m/>
    <m/>
    <m/>
    <m/>
    <s v="#FutureOfDriving"/>
    <m/>
    <x v="293"/>
  </r>
  <r>
    <m/>
    <x v="4"/>
    <m/>
    <m/>
    <m/>
    <m/>
    <m/>
    <m/>
    <m/>
    <m/>
    <m/>
    <m/>
    <m/>
    <s v="#TeslaCoInnovation"/>
    <m/>
    <x v="293"/>
  </r>
  <r>
    <m/>
    <x v="4"/>
    <m/>
    <m/>
    <m/>
    <m/>
    <m/>
    <m/>
    <m/>
    <m/>
    <m/>
    <m/>
    <m/>
    <s v="#EVRevolution"/>
    <m/>
    <x v="293"/>
  </r>
  <r>
    <m/>
    <x v="4"/>
    <m/>
    <m/>
    <m/>
    <m/>
    <m/>
    <m/>
    <m/>
    <m/>
    <m/>
    <m/>
    <m/>
    <s v="#FutureOfDriving"/>
    <m/>
    <x v="293"/>
  </r>
  <r>
    <m/>
    <x v="4"/>
    <m/>
    <m/>
    <m/>
    <m/>
    <m/>
    <m/>
    <m/>
    <m/>
    <m/>
    <m/>
    <m/>
    <s v="#EVRevolution"/>
    <m/>
    <x v="293"/>
  </r>
  <r>
    <m/>
    <x v="4"/>
    <m/>
    <m/>
    <m/>
    <m/>
    <m/>
    <m/>
    <m/>
    <m/>
    <m/>
    <m/>
    <m/>
    <s v="#FutureOfDriving"/>
    <m/>
    <x v="293"/>
  </r>
  <r>
    <m/>
    <x v="4"/>
    <m/>
    <m/>
    <m/>
    <m/>
    <m/>
    <m/>
    <m/>
    <m/>
    <m/>
    <m/>
    <m/>
    <s v="#FutureOfDriving"/>
    <m/>
    <x v="293"/>
  </r>
  <r>
    <m/>
    <x v="4"/>
    <m/>
    <m/>
    <m/>
    <m/>
    <m/>
    <m/>
    <m/>
    <m/>
    <m/>
    <m/>
    <m/>
    <s v="#EVRevolution"/>
    <m/>
    <x v="293"/>
  </r>
  <r>
    <m/>
    <x v="4"/>
    <m/>
    <m/>
    <m/>
    <m/>
    <m/>
    <m/>
    <m/>
    <m/>
    <m/>
    <m/>
    <m/>
    <s v="#EVRevolution"/>
    <m/>
    <x v="293"/>
  </r>
  <r>
    <m/>
    <x v="4"/>
    <m/>
    <m/>
    <m/>
    <m/>
    <m/>
    <m/>
    <m/>
    <m/>
    <m/>
    <m/>
    <m/>
    <s v="#TeslaCoInnovation"/>
    <m/>
    <x v="293"/>
  </r>
  <r>
    <m/>
    <x v="4"/>
    <m/>
    <m/>
    <m/>
    <m/>
    <m/>
    <m/>
    <m/>
    <m/>
    <m/>
    <m/>
    <m/>
    <s v="#AnytimeIsTeslaTime"/>
    <m/>
    <x v="293"/>
  </r>
  <r>
    <m/>
    <x v="4"/>
    <m/>
    <m/>
    <m/>
    <m/>
    <m/>
    <m/>
    <m/>
    <m/>
    <m/>
    <m/>
    <m/>
    <s v="#EVRevolution"/>
    <m/>
    <x v="293"/>
  </r>
  <r>
    <m/>
    <x v="4"/>
    <m/>
    <m/>
    <m/>
    <m/>
    <m/>
    <m/>
    <m/>
    <m/>
    <m/>
    <m/>
    <m/>
    <s v="#EVRevolution"/>
    <m/>
    <x v="293"/>
  </r>
  <r>
    <m/>
    <x v="4"/>
    <m/>
    <m/>
    <m/>
    <m/>
    <m/>
    <m/>
    <m/>
    <m/>
    <m/>
    <m/>
    <m/>
    <s v="#FutureOfDriving"/>
    <m/>
    <x v="293"/>
  </r>
  <r>
    <m/>
    <x v="4"/>
    <m/>
    <m/>
    <m/>
    <m/>
    <m/>
    <m/>
    <m/>
    <m/>
    <m/>
    <m/>
    <m/>
    <s v="#TeslaCoInnovation"/>
    <m/>
    <x v="293"/>
  </r>
  <r>
    <m/>
    <x v="4"/>
    <m/>
    <m/>
    <m/>
    <m/>
    <m/>
    <m/>
    <m/>
    <m/>
    <m/>
    <m/>
    <m/>
    <s v="#AnytimeIsTeslaTime"/>
    <m/>
    <x v="293"/>
  </r>
  <r>
    <m/>
    <x v="4"/>
    <m/>
    <m/>
    <m/>
    <m/>
    <m/>
    <m/>
    <m/>
    <m/>
    <m/>
    <m/>
    <m/>
    <s v="#TeslaCoInnovation"/>
    <m/>
    <x v="293"/>
  </r>
  <r>
    <m/>
    <x v="4"/>
    <m/>
    <m/>
    <m/>
    <m/>
    <m/>
    <m/>
    <m/>
    <m/>
    <m/>
    <m/>
    <m/>
    <s v="#SmoothLikeNitroTesla"/>
    <m/>
    <x v="293"/>
  </r>
  <r>
    <m/>
    <x v="4"/>
    <m/>
    <m/>
    <m/>
    <m/>
    <m/>
    <m/>
    <m/>
    <m/>
    <m/>
    <m/>
    <m/>
    <s v="#EVRevolution"/>
    <m/>
    <x v="293"/>
  </r>
  <r>
    <m/>
    <x v="4"/>
    <m/>
    <m/>
    <m/>
    <m/>
    <m/>
    <m/>
    <m/>
    <m/>
    <m/>
    <m/>
    <m/>
    <s v="#TeslaCoInnovation"/>
    <m/>
    <x v="293"/>
  </r>
  <r>
    <m/>
    <x v="4"/>
    <m/>
    <m/>
    <m/>
    <m/>
    <m/>
    <m/>
    <m/>
    <m/>
    <m/>
    <m/>
    <m/>
    <s v="#FutureOfDriving"/>
    <m/>
    <x v="293"/>
  </r>
  <r>
    <m/>
    <x v="4"/>
    <m/>
    <m/>
    <m/>
    <m/>
    <m/>
    <m/>
    <m/>
    <m/>
    <m/>
    <m/>
    <m/>
    <s v="#TeslaCoInnovation"/>
    <m/>
    <x v="293"/>
  </r>
  <r>
    <m/>
    <x v="4"/>
    <m/>
    <m/>
    <m/>
    <m/>
    <m/>
    <m/>
    <m/>
    <m/>
    <m/>
    <m/>
    <m/>
    <s v="#EVRevolution"/>
    <m/>
    <x v="293"/>
  </r>
  <r>
    <m/>
    <x v="4"/>
    <m/>
    <m/>
    <m/>
    <m/>
    <m/>
    <m/>
    <m/>
    <m/>
    <m/>
    <m/>
    <m/>
    <s v="#BetterWithTesla"/>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s v="null"/>
    <m/>
    <x v="293"/>
  </r>
  <r>
    <m/>
    <x v="4"/>
    <m/>
    <m/>
    <m/>
    <m/>
    <m/>
    <m/>
    <m/>
    <m/>
    <m/>
    <m/>
    <m/>
    <m/>
    <m/>
    <x v="2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2024-06-15"/>
    <d v="2024-07-15T00:00:00"/>
    <s v="Product Awareness"/>
    <n v="150000"/>
    <s v="Instagram,Facebook"/>
    <s v="#EVRevolution,#TeslaCoInnovation"/>
    <n v="8.5549999999999997"/>
    <n v="6.2439999999999998"/>
    <n v="-0.27013442431326712"/>
  </r>
  <r>
    <x v="1"/>
    <s v="2024-10-01"/>
    <d v="2024-10-31T00:00:00"/>
    <s v="Customer Engagement"/>
    <n v="200000"/>
    <s v="Instagram,YouTube"/>
    <s v="#AnytimeIsTeslaTime,"/>
    <n v="5.0619999999999994"/>
    <n v="6.875"/>
    <n v="0.3581588305017781"/>
  </r>
  <r>
    <x v="2"/>
    <s v="2024-12-25"/>
    <d v="2025-01-10T00:00:00"/>
    <s v="Vehicle Launch"/>
    <n v="250000"/>
    <s v="Facebook,Twitter"/>
    <s v="#SmoothLikeNitroTesla"/>
    <n v="5.718"/>
    <n v="5.6449999999999996"/>
    <n v="-1.2766701643931514E-2"/>
  </r>
  <r>
    <x v="3"/>
    <s v="2025-03-01"/>
    <d v="2025-03-31T00:00:00"/>
    <s v="Community Growth"/>
    <n v="180000"/>
    <s v="Instagram,Twitter"/>
    <s v="#BetterWithTesla,#FutureOfDriving"/>
    <n v="3.9249999999999998"/>
    <n v="6.2780000000000005"/>
    <n v="0.59949044585987277"/>
  </r>
  <r>
    <x v="4"/>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n v="584"/>
    <n v="169"/>
    <n v="146834"/>
    <n v="8.31"/>
    <x v="0"/>
    <x v="0"/>
    <n v="12201.905400000001"/>
  </r>
  <r>
    <x v="0"/>
    <x v="1"/>
    <n v="1135"/>
    <n v="88"/>
    <n v="344084"/>
    <n v="8.06"/>
    <x v="1"/>
    <x v="1"/>
    <n v="27733.170400000003"/>
  </r>
  <r>
    <x v="0"/>
    <x v="2"/>
    <n v="1312"/>
    <n v="310"/>
    <n v="42654"/>
    <n v="4.9800000000000004"/>
    <x v="2"/>
    <x v="2"/>
    <n v="2124.1692000000003"/>
  </r>
  <r>
    <x v="0"/>
    <x v="3"/>
    <n v="1535"/>
    <n v="445"/>
    <n v="395536"/>
    <n v="4.1100000000000003"/>
    <x v="3"/>
    <x v="3"/>
    <n v="16256.529600000002"/>
  </r>
  <r>
    <x v="1"/>
    <x v="0"/>
    <n v="436"/>
    <n v="250"/>
    <n v="254347"/>
    <n v="4.01"/>
    <x v="4"/>
    <x v="4"/>
    <n v="10199.314699999999"/>
  </r>
  <r>
    <x v="1"/>
    <x v="1"/>
    <n v="656"/>
    <n v="139"/>
    <n v="49157"/>
    <n v="9.0500000000000007"/>
    <x v="5"/>
    <x v="5"/>
    <n v="4448.7085000000006"/>
  </r>
  <r>
    <x v="1"/>
    <x v="3"/>
    <n v="1197"/>
    <n v="203"/>
    <n v="413878"/>
    <n v="3.16"/>
    <x v="6"/>
    <x v="6"/>
    <n v="13078.544800000001"/>
  </r>
  <r>
    <x v="1"/>
    <x v="2"/>
    <n v="1697"/>
    <n v="414"/>
    <n v="316555"/>
    <n v="2.37"/>
    <x v="7"/>
    <x v="7"/>
    <n v="7502.3535000000011"/>
  </r>
  <r>
    <x v="2"/>
    <x v="3"/>
    <n v="403"/>
    <n v="66"/>
    <n v="382851"/>
    <n v="3.49"/>
    <x v="8"/>
    <x v="8"/>
    <n v="13361.499900000001"/>
  </r>
  <r>
    <x v="2"/>
    <x v="1"/>
    <n v="1048"/>
    <n v="155"/>
    <n v="456946"/>
    <n v="2.46"/>
    <x v="9"/>
    <x v="9"/>
    <n v="11240.8716"/>
  </r>
  <r>
    <x v="2"/>
    <x v="0"/>
    <n v="1335"/>
    <n v="40"/>
    <n v="122732"/>
    <n v="8.19"/>
    <x v="10"/>
    <x v="10"/>
    <n v="10051.7508"/>
  </r>
  <r>
    <x v="2"/>
    <x v="2"/>
    <n v="1753"/>
    <n v="371"/>
    <n v="169496"/>
    <n v="8.11"/>
    <x v="11"/>
    <x v="11"/>
    <n v="13746.125599999999"/>
  </r>
  <r>
    <x v="3"/>
    <x v="3"/>
    <n v="308"/>
    <n v="431"/>
    <n v="426184"/>
    <n v="2.62"/>
    <x v="12"/>
    <x v="12"/>
    <n v="11166.0208"/>
  </r>
  <r>
    <x v="3"/>
    <x v="1"/>
    <n v="911"/>
    <n v="282"/>
    <n v="35664"/>
    <n v="6.92"/>
    <x v="13"/>
    <x v="13"/>
    <n v="2467.9488000000001"/>
  </r>
  <r>
    <x v="3"/>
    <x v="0"/>
    <n v="1238"/>
    <n v="403"/>
    <n v="298421"/>
    <n v="3.5"/>
    <x v="14"/>
    <x v="14"/>
    <n v="10444.735000000001"/>
  </r>
  <r>
    <x v="3"/>
    <x v="2"/>
    <n v="1779"/>
    <n v="109"/>
    <n v="26295"/>
    <n v="9.1199999999999992"/>
    <x v="15"/>
    <x v="15"/>
    <n v="2398.1039999999998"/>
  </r>
  <r>
    <x v="4"/>
    <x v="3"/>
    <n v="144"/>
    <n v="53"/>
    <n v="113678"/>
    <n v="8.7200000000000006"/>
    <x v="16"/>
    <x v="16"/>
    <n v="9912.7216000000008"/>
  </r>
  <r>
    <x v="4"/>
    <x v="1"/>
    <n v="226"/>
    <n v="445"/>
    <n v="419447"/>
    <n v="9.36"/>
    <x v="2"/>
    <x v="17"/>
    <n v="39260.239199999996"/>
  </r>
  <r>
    <x v="4"/>
    <x v="2"/>
    <n v="505"/>
    <n v="441"/>
    <n v="220020"/>
    <n v="4.4800000000000004"/>
    <x v="17"/>
    <x v="18"/>
    <n v="9856.8960000000006"/>
  </r>
  <r>
    <x v="4"/>
    <x v="0"/>
    <n v="1420"/>
    <n v="63"/>
    <n v="315305"/>
    <n v="6.19"/>
    <x v="18"/>
    <x v="19"/>
    <n v="19517.379500000003"/>
  </r>
  <r>
    <x v="5"/>
    <x v="2"/>
    <n v="350"/>
    <n v="41"/>
    <n v="251694"/>
    <n v="1.91"/>
    <x v="19"/>
    <x v="20"/>
    <n v="4807.3553999999995"/>
  </r>
  <r>
    <x v="5"/>
    <x v="3"/>
    <n v="883"/>
    <n v="369"/>
    <n v="233694"/>
    <n v="2.88"/>
    <x v="20"/>
    <x v="21"/>
    <n v="6730.3872000000001"/>
  </r>
  <r>
    <x v="5"/>
    <x v="0"/>
    <n v="987"/>
    <n v="440"/>
    <n v="389810"/>
    <n v="4.66"/>
    <x v="21"/>
    <x v="22"/>
    <n v="18165.146000000001"/>
  </r>
  <r>
    <x v="5"/>
    <x v="1"/>
    <n v="1757"/>
    <n v="85"/>
    <n v="58223"/>
    <n v="8.74"/>
    <x v="22"/>
    <x v="23"/>
    <n v="5088.6902"/>
  </r>
  <r>
    <x v="6"/>
    <x v="2"/>
    <n v="170"/>
    <n v="334"/>
    <n v="334626"/>
    <n v="6.44"/>
    <x v="23"/>
    <x v="24"/>
    <n v="21549.914399999998"/>
  </r>
  <r>
    <x v="6"/>
    <x v="3"/>
    <n v="224"/>
    <n v="64"/>
    <n v="156683"/>
    <n v="4.5599999999999996"/>
    <x v="24"/>
    <x v="25"/>
    <n v="7144.7447999999995"/>
  </r>
  <r>
    <x v="6"/>
    <x v="0"/>
    <n v="704"/>
    <n v="275"/>
    <n v="226002"/>
    <n v="8.56"/>
    <x v="25"/>
    <x v="26"/>
    <n v="19345.771200000003"/>
  </r>
  <r>
    <x v="6"/>
    <x v="1"/>
    <n v="1960"/>
    <n v="115"/>
    <n v="154169"/>
    <n v="3.74"/>
    <x v="26"/>
    <x v="27"/>
    <n v="5765.9206000000004"/>
  </r>
  <r>
    <x v="7"/>
    <x v="1"/>
    <n v="508"/>
    <n v="349"/>
    <n v="473812"/>
    <n v="7.88"/>
    <x v="27"/>
    <x v="28"/>
    <n v="37336.385599999994"/>
  </r>
  <r>
    <x v="7"/>
    <x v="3"/>
    <n v="804"/>
    <n v="487"/>
    <n v="306564"/>
    <n v="5.52"/>
    <x v="28"/>
    <x v="29"/>
    <n v="16922.3328"/>
  </r>
  <r>
    <x v="7"/>
    <x v="2"/>
    <n v="1391"/>
    <n v="430"/>
    <n v="295032"/>
    <n v="7.86"/>
    <x v="29"/>
    <x v="30"/>
    <n v="23189.515200000002"/>
  </r>
  <r>
    <x v="7"/>
    <x v="0"/>
    <n v="1701"/>
    <n v="385"/>
    <n v="198278"/>
    <n v="5.34"/>
    <x v="30"/>
    <x v="31"/>
    <n v="10588.045199999999"/>
  </r>
  <r>
    <x v="8"/>
    <x v="2"/>
    <n v="160"/>
    <n v="478"/>
    <n v="435034"/>
    <n v="7.73"/>
    <x v="31"/>
    <x v="32"/>
    <n v="33628.128200000006"/>
  </r>
  <r>
    <x v="8"/>
    <x v="3"/>
    <n v="576"/>
    <n v="101"/>
    <n v="62499"/>
    <n v="3.48"/>
    <x v="32"/>
    <x v="33"/>
    <n v="2174.9651999999996"/>
  </r>
  <r>
    <x v="8"/>
    <x v="1"/>
    <n v="653"/>
    <n v="112"/>
    <n v="23664"/>
    <n v="4.05"/>
    <x v="33"/>
    <x v="34"/>
    <n v="958.39200000000005"/>
  </r>
  <r>
    <x v="8"/>
    <x v="0"/>
    <n v="1756"/>
    <n v="261"/>
    <n v="287574"/>
    <n v="4.3600000000000003"/>
    <x v="34"/>
    <x v="35"/>
    <n v="12538.2264"/>
  </r>
  <r>
    <x v="9"/>
    <x v="2"/>
    <n v="214"/>
    <n v="411"/>
    <n v="125034"/>
    <n v="6.11"/>
    <x v="35"/>
    <x v="36"/>
    <n v="7639.5774000000001"/>
  </r>
  <r>
    <x v="9"/>
    <x v="3"/>
    <n v="460"/>
    <n v="141"/>
    <n v="320650"/>
    <n v="4.04"/>
    <x v="36"/>
    <x v="37"/>
    <n v="12954.26"/>
  </r>
  <r>
    <x v="9"/>
    <x v="1"/>
    <n v="645"/>
    <n v="293"/>
    <n v="437968"/>
    <n v="7.83"/>
    <x v="37"/>
    <x v="38"/>
    <n v="34292.894399999997"/>
  </r>
  <r>
    <x v="9"/>
    <x v="0"/>
    <n v="826"/>
    <n v="498"/>
    <n v="449994"/>
    <n v="9.43"/>
    <x v="38"/>
    <x v="39"/>
    <n v="42434.434199999996"/>
  </r>
  <r>
    <x v="10"/>
    <x v="0"/>
    <n v="485"/>
    <n v="448"/>
    <n v="434883"/>
    <n v="8.5500000000000007"/>
    <x v="39"/>
    <x v="40"/>
    <n v="37182.496500000001"/>
  </r>
  <r>
    <x v="10"/>
    <x v="3"/>
    <n v="1210"/>
    <n v="178"/>
    <n v="102042"/>
    <n v="5.42"/>
    <x v="40"/>
    <x v="41"/>
    <n v="5530.6763999999994"/>
  </r>
  <r>
    <x v="10"/>
    <x v="1"/>
    <n v="1528"/>
    <n v="203"/>
    <n v="489188"/>
    <n v="6.23"/>
    <x v="41"/>
    <x v="42"/>
    <n v="30476.412400000001"/>
  </r>
  <r>
    <x v="10"/>
    <x v="2"/>
    <n v="1534"/>
    <n v="200"/>
    <n v="307612"/>
    <n v="6.01"/>
    <x v="42"/>
    <x v="43"/>
    <n v="18487.481200000002"/>
  </r>
  <r>
    <x v="11"/>
    <x v="1"/>
    <n v="215"/>
    <n v="139"/>
    <n v="325444"/>
    <n v="3.25"/>
    <x v="43"/>
    <x v="44"/>
    <n v="10576.93"/>
  </r>
  <r>
    <x v="11"/>
    <x v="3"/>
    <n v="221"/>
    <n v="31"/>
    <n v="87443"/>
    <n v="6.19"/>
    <x v="44"/>
    <x v="45"/>
    <n v="5412.7217000000001"/>
  </r>
  <r>
    <x v="11"/>
    <x v="2"/>
    <n v="1078"/>
    <n v="20"/>
    <n v="183924"/>
    <n v="8.84"/>
    <x v="45"/>
    <x v="46"/>
    <n v="16258.881599999999"/>
  </r>
  <r>
    <x v="11"/>
    <x v="0"/>
    <n v="1751"/>
    <n v="86"/>
    <n v="188655"/>
    <n v="7.24"/>
    <x v="46"/>
    <x v="47"/>
    <n v="13658.622000000001"/>
  </r>
  <r>
    <x v="12"/>
    <x v="2"/>
    <n v="248"/>
    <n v="211"/>
    <n v="379380"/>
    <n v="9.0399999999999991"/>
    <x v="47"/>
    <x v="48"/>
    <n v="34295.951999999997"/>
  </r>
  <r>
    <x v="12"/>
    <x v="3"/>
    <n v="422"/>
    <n v="394"/>
    <n v="239044"/>
    <n v="7.83"/>
    <x v="48"/>
    <x v="49"/>
    <n v="18717.145199999999"/>
  </r>
  <r>
    <x v="12"/>
    <x v="0"/>
    <n v="1300"/>
    <n v="71"/>
    <n v="186454"/>
    <n v="3.91"/>
    <x v="49"/>
    <x v="50"/>
    <n v="7290.3514000000005"/>
  </r>
  <r>
    <x v="12"/>
    <x v="1"/>
    <n v="1685"/>
    <n v="76"/>
    <n v="453799"/>
    <n v="5.71"/>
    <x v="50"/>
    <x v="51"/>
    <n v="25911.922899999998"/>
  </r>
  <r>
    <x v="13"/>
    <x v="0"/>
    <n v="557"/>
    <n v="360"/>
    <n v="318779"/>
    <n v="8.02"/>
    <x v="51"/>
    <x v="52"/>
    <n v="25566.075799999999"/>
  </r>
  <r>
    <x v="13"/>
    <x v="3"/>
    <n v="728"/>
    <n v="395"/>
    <n v="370971"/>
    <n v="3.86"/>
    <x v="52"/>
    <x v="53"/>
    <n v="14319.480599999999"/>
  </r>
  <r>
    <x v="13"/>
    <x v="1"/>
    <n v="1429"/>
    <n v="182"/>
    <n v="101332"/>
    <n v="7.16"/>
    <x v="53"/>
    <x v="54"/>
    <n v="7255.3711999999996"/>
  </r>
  <r>
    <x v="13"/>
    <x v="2"/>
    <n v="1520"/>
    <n v="475"/>
    <n v="496982"/>
    <n v="6.41"/>
    <x v="54"/>
    <x v="55"/>
    <n v="31856.546200000001"/>
  </r>
  <r>
    <x v="14"/>
    <x v="0"/>
    <n v="751"/>
    <n v="491"/>
    <n v="434047"/>
    <n v="9.24"/>
    <x v="55"/>
    <x v="56"/>
    <n v="40105.942799999997"/>
  </r>
  <r>
    <x v="14"/>
    <x v="3"/>
    <n v="1409"/>
    <n v="309"/>
    <n v="64583"/>
    <n v="8.99"/>
    <x v="56"/>
    <x v="57"/>
    <n v="5806.0117000000009"/>
  </r>
  <r>
    <x v="14"/>
    <x v="1"/>
    <n v="1592"/>
    <n v="20"/>
    <n v="378054"/>
    <n v="9.09"/>
    <x v="57"/>
    <x v="58"/>
    <n v="34365.1086"/>
  </r>
  <r>
    <x v="14"/>
    <x v="2"/>
    <n v="1842"/>
    <n v="414"/>
    <n v="307524"/>
    <n v="1.76"/>
    <x v="58"/>
    <x v="59"/>
    <n v="5412.4224000000004"/>
  </r>
  <r>
    <x v="15"/>
    <x v="3"/>
    <n v="123"/>
    <n v="155"/>
    <n v="119934"/>
    <n v="3.5"/>
    <x v="59"/>
    <x v="60"/>
    <n v="4197.6900000000005"/>
  </r>
  <r>
    <x v="15"/>
    <x v="2"/>
    <n v="443"/>
    <n v="345"/>
    <n v="474162"/>
    <n v="9.1999999999999993"/>
    <x v="60"/>
    <x v="61"/>
    <n v="43622.904000000002"/>
  </r>
  <r>
    <x v="15"/>
    <x v="1"/>
    <n v="778"/>
    <n v="401"/>
    <n v="50793"/>
    <n v="3.4"/>
    <x v="61"/>
    <x v="62"/>
    <n v="1726.9620000000002"/>
  </r>
  <r>
    <x v="15"/>
    <x v="0"/>
    <n v="1472"/>
    <n v="347"/>
    <n v="392355"/>
    <n v="8.59"/>
    <x v="62"/>
    <x v="63"/>
    <n v="33703.294500000004"/>
  </r>
  <r>
    <x v="16"/>
    <x v="2"/>
    <n v="198"/>
    <n v="217"/>
    <n v="239753"/>
    <n v="7.36"/>
    <x v="63"/>
    <x v="64"/>
    <n v="17645.820800000001"/>
  </r>
  <r>
    <x v="16"/>
    <x v="1"/>
    <n v="817"/>
    <n v="151"/>
    <n v="422625"/>
    <n v="2.36"/>
    <x v="64"/>
    <x v="65"/>
    <n v="9973.9499999999989"/>
  </r>
  <r>
    <x v="16"/>
    <x v="3"/>
    <n v="1218"/>
    <n v="212"/>
    <n v="63177"/>
    <n v="8.1300000000000008"/>
    <x v="65"/>
    <x v="66"/>
    <n v="5136.2901000000011"/>
  </r>
  <r>
    <x v="16"/>
    <x v="0"/>
    <n v="1911"/>
    <n v="231"/>
    <n v="268516"/>
    <n v="8.5500000000000007"/>
    <x v="66"/>
    <x v="67"/>
    <n v="22958.118000000002"/>
  </r>
  <r>
    <x v="17"/>
    <x v="2"/>
    <n v="250"/>
    <n v="429"/>
    <n v="453423"/>
    <n v="1.77"/>
    <x v="67"/>
    <x v="68"/>
    <n v="8025.5871000000006"/>
  </r>
  <r>
    <x v="17"/>
    <x v="0"/>
    <n v="752"/>
    <n v="153"/>
    <n v="64906"/>
    <n v="2.09"/>
    <x v="68"/>
    <x v="69"/>
    <n v="1356.5354"/>
  </r>
  <r>
    <x v="17"/>
    <x v="1"/>
    <n v="1433"/>
    <n v="408"/>
    <n v="370269"/>
    <n v="3.3"/>
    <x v="69"/>
    <x v="70"/>
    <n v="12218.877"/>
  </r>
  <r>
    <x v="17"/>
    <x v="3"/>
    <n v="1918"/>
    <n v="212"/>
    <n v="94360"/>
    <n v="7.36"/>
    <x v="70"/>
    <x v="71"/>
    <n v="6944.8959999999997"/>
  </r>
  <r>
    <x v="18"/>
    <x v="3"/>
    <n v="307"/>
    <n v="189"/>
    <n v="117767"/>
    <n v="9.3000000000000007"/>
    <x v="71"/>
    <x v="72"/>
    <n v="10952.331000000002"/>
  </r>
  <r>
    <x v="18"/>
    <x v="0"/>
    <n v="437"/>
    <n v="330"/>
    <n v="476486"/>
    <n v="4.97"/>
    <x v="72"/>
    <x v="73"/>
    <n v="23681.354199999998"/>
  </r>
  <r>
    <x v="18"/>
    <x v="2"/>
    <n v="1929"/>
    <n v="267"/>
    <n v="379363"/>
    <n v="1.75"/>
    <x v="73"/>
    <x v="74"/>
    <n v="6638.8525000000009"/>
  </r>
  <r>
    <x v="18"/>
    <x v="1"/>
    <n v="1939"/>
    <n v="67"/>
    <n v="187183"/>
    <n v="6.25"/>
    <x v="74"/>
    <x v="75"/>
    <n v="11698.9375"/>
  </r>
  <r>
    <x v="19"/>
    <x v="0"/>
    <n v="201"/>
    <n v="221"/>
    <n v="309772"/>
    <n v="5.9"/>
    <x v="75"/>
    <x v="76"/>
    <n v="18276.548000000003"/>
  </r>
  <r>
    <x v="19"/>
    <x v="3"/>
    <n v="414"/>
    <n v="47"/>
    <n v="199178"/>
    <n v="1.53"/>
    <x v="76"/>
    <x v="77"/>
    <n v="3047.4234000000001"/>
  </r>
  <r>
    <x v="19"/>
    <x v="2"/>
    <n v="643"/>
    <n v="358"/>
    <n v="157599"/>
    <n v="3.88"/>
    <x v="77"/>
    <x v="78"/>
    <n v="6114.8411999999998"/>
  </r>
  <r>
    <x v="19"/>
    <x v="1"/>
    <n v="1527"/>
    <n v="303"/>
    <n v="388555"/>
    <n v="8.9"/>
    <x v="78"/>
    <x v="79"/>
    <n v="34581.395000000004"/>
  </r>
  <r>
    <x v="20"/>
    <x v="2"/>
    <n v="508"/>
    <n v="69"/>
    <n v="23492"/>
    <n v="3.16"/>
    <x v="79"/>
    <x v="80"/>
    <n v="742.34720000000004"/>
  </r>
  <r>
    <x v="20"/>
    <x v="0"/>
    <n v="697"/>
    <n v="61"/>
    <n v="258287"/>
    <n v="8.25"/>
    <x v="80"/>
    <x v="81"/>
    <n v="21308.677500000002"/>
  </r>
  <r>
    <x v="20"/>
    <x v="1"/>
    <n v="703"/>
    <n v="441"/>
    <n v="357089"/>
    <n v="6.5"/>
    <x v="81"/>
    <x v="82"/>
    <n v="23210.785"/>
  </r>
  <r>
    <x v="20"/>
    <x v="3"/>
    <n v="1707"/>
    <n v="223"/>
    <n v="256910"/>
    <n v="5.41"/>
    <x v="82"/>
    <x v="83"/>
    <n v="13898.831"/>
  </r>
  <r>
    <x v="21"/>
    <x v="0"/>
    <n v="191"/>
    <n v="154"/>
    <n v="240550"/>
    <n v="5.22"/>
    <x v="83"/>
    <x v="84"/>
    <n v="12556.71"/>
  </r>
  <r>
    <x v="21"/>
    <x v="1"/>
    <n v="642"/>
    <n v="66"/>
    <n v="346522"/>
    <n v="5.85"/>
    <x v="84"/>
    <x v="85"/>
    <n v="20271.537"/>
  </r>
  <r>
    <x v="21"/>
    <x v="2"/>
    <n v="859"/>
    <n v="473"/>
    <n v="209987"/>
    <n v="4.46"/>
    <x v="85"/>
    <x v="86"/>
    <n v="9365.4202000000005"/>
  </r>
  <r>
    <x v="21"/>
    <x v="3"/>
    <n v="1814"/>
    <n v="157"/>
    <n v="305827"/>
    <n v="1.99"/>
    <x v="86"/>
    <x v="87"/>
    <n v="6085.9573"/>
  </r>
  <r>
    <x v="22"/>
    <x v="2"/>
    <n v="947"/>
    <n v="407"/>
    <n v="319186"/>
    <n v="3.32"/>
    <x v="87"/>
    <x v="88"/>
    <n v="10596.975200000001"/>
  </r>
  <r>
    <x v="22"/>
    <x v="1"/>
    <n v="1466"/>
    <n v="69"/>
    <n v="54935"/>
    <n v="6.85"/>
    <x v="88"/>
    <x v="89"/>
    <n v="3763.0474999999997"/>
  </r>
  <r>
    <x v="22"/>
    <x v="3"/>
    <n v="1507"/>
    <n v="463"/>
    <n v="258944"/>
    <n v="6.08"/>
    <x v="89"/>
    <x v="90"/>
    <n v="15743.7952"/>
  </r>
  <r>
    <x v="22"/>
    <x v="0"/>
    <n v="1821"/>
    <n v="218"/>
    <n v="439080"/>
    <n v="5.68"/>
    <x v="90"/>
    <x v="91"/>
    <n v="24939.743999999999"/>
  </r>
  <r>
    <x v="23"/>
    <x v="2"/>
    <n v="171"/>
    <n v="277"/>
    <n v="309483"/>
    <n v="8.6999999999999993"/>
    <x v="91"/>
    <x v="92"/>
    <n v="26925.020999999997"/>
  </r>
  <r>
    <x v="23"/>
    <x v="3"/>
    <n v="454"/>
    <n v="105"/>
    <n v="121091"/>
    <n v="7.97"/>
    <x v="92"/>
    <x v="93"/>
    <n v="9650.9526999999998"/>
  </r>
  <r>
    <x v="23"/>
    <x v="1"/>
    <n v="1075"/>
    <n v="173"/>
    <n v="51395"/>
    <n v="4.66"/>
    <x v="93"/>
    <x v="94"/>
    <n v="2395.0070000000001"/>
  </r>
  <r>
    <x v="23"/>
    <x v="0"/>
    <n v="1487"/>
    <n v="337"/>
    <n v="87305"/>
    <n v="2.46"/>
    <x v="94"/>
    <x v="95"/>
    <n v="2147.703"/>
  </r>
  <r>
    <x v="24"/>
    <x v="1"/>
    <n v="187"/>
    <n v="236"/>
    <n v="51087"/>
    <n v="9.41"/>
    <x v="95"/>
    <x v="96"/>
    <n v="4807.2867000000006"/>
  </r>
  <r>
    <x v="24"/>
    <x v="3"/>
    <n v="278"/>
    <n v="218"/>
    <n v="301695"/>
    <n v="4.68"/>
    <x v="96"/>
    <x v="97"/>
    <n v="14119.325999999999"/>
  </r>
  <r>
    <x v="24"/>
    <x v="2"/>
    <n v="513"/>
    <n v="441"/>
    <n v="338847"/>
    <n v="2.68"/>
    <x v="97"/>
    <x v="98"/>
    <n v="9081.0995999999996"/>
  </r>
  <r>
    <x v="24"/>
    <x v="0"/>
    <n v="628"/>
    <n v="183"/>
    <n v="487523"/>
    <n v="7.32"/>
    <x v="98"/>
    <x v="99"/>
    <n v="35686.683600000004"/>
  </r>
  <r>
    <x v="25"/>
    <x v="0"/>
    <n v="330"/>
    <n v="232"/>
    <n v="88455"/>
    <n v="2.69"/>
    <x v="99"/>
    <x v="100"/>
    <n v="2379.4395"/>
  </r>
  <r>
    <x v="25"/>
    <x v="3"/>
    <n v="1293"/>
    <n v="408"/>
    <n v="62535"/>
    <n v="8.9"/>
    <x v="100"/>
    <x v="101"/>
    <n v="5565.6150000000007"/>
  </r>
  <r>
    <x v="25"/>
    <x v="2"/>
    <n v="1710"/>
    <n v="378"/>
    <n v="336661"/>
    <n v="6.2"/>
    <x v="101"/>
    <x v="102"/>
    <n v="20872.982"/>
  </r>
  <r>
    <x v="25"/>
    <x v="1"/>
    <n v="1854"/>
    <n v="161"/>
    <n v="282466"/>
    <n v="5.17"/>
    <x v="102"/>
    <x v="103"/>
    <n v="14603.492199999999"/>
  </r>
  <r>
    <x v="26"/>
    <x v="3"/>
    <n v="452"/>
    <n v="161"/>
    <n v="221274"/>
    <n v="2.65"/>
    <x v="103"/>
    <x v="104"/>
    <n v="5863.7609999999995"/>
  </r>
  <r>
    <x v="26"/>
    <x v="0"/>
    <n v="1441"/>
    <n v="268"/>
    <n v="309904"/>
    <n v="6.37"/>
    <x v="104"/>
    <x v="105"/>
    <n v="19740.884800000003"/>
  </r>
  <r>
    <x v="26"/>
    <x v="1"/>
    <n v="1696"/>
    <n v="71"/>
    <n v="421957"/>
    <n v="3.79"/>
    <x v="105"/>
    <x v="106"/>
    <n v="15992.170300000002"/>
  </r>
  <r>
    <x v="26"/>
    <x v="2"/>
    <n v="1902"/>
    <n v="196"/>
    <n v="470269"/>
    <n v="4.79"/>
    <x v="106"/>
    <x v="107"/>
    <n v="22525.8851"/>
  </r>
  <r>
    <x v="27"/>
    <x v="3"/>
    <n v="736"/>
    <n v="163"/>
    <n v="451894"/>
    <n v="5.43"/>
    <x v="107"/>
    <x v="108"/>
    <n v="24537.844199999996"/>
  </r>
  <r>
    <x v="27"/>
    <x v="1"/>
    <n v="1494"/>
    <n v="375"/>
    <n v="220616"/>
    <n v="1.81"/>
    <x v="108"/>
    <x v="109"/>
    <n v="3993.1496000000002"/>
  </r>
  <r>
    <x v="27"/>
    <x v="2"/>
    <n v="1514"/>
    <n v="141"/>
    <n v="35842"/>
    <n v="7.47"/>
    <x v="109"/>
    <x v="110"/>
    <n v="2677.3974000000003"/>
  </r>
  <r>
    <x v="27"/>
    <x v="0"/>
    <n v="1937"/>
    <n v="210"/>
    <n v="20607"/>
    <n v="4.2"/>
    <x v="110"/>
    <x v="111"/>
    <n v="865.49400000000003"/>
  </r>
  <r>
    <x v="28"/>
    <x v="3"/>
    <n v="1004"/>
    <n v="128"/>
    <n v="488901"/>
    <n v="8.09"/>
    <x v="111"/>
    <x v="112"/>
    <n v="39552.090900000003"/>
  </r>
  <r>
    <x v="28"/>
    <x v="1"/>
    <n v="1502"/>
    <n v="70"/>
    <n v="465553"/>
    <n v="3.32"/>
    <x v="112"/>
    <x v="113"/>
    <n v="15456.3596"/>
  </r>
  <r>
    <x v="28"/>
    <x v="0"/>
    <n v="1592"/>
    <n v="233"/>
    <n v="327183"/>
    <n v="6.66"/>
    <x v="113"/>
    <x v="114"/>
    <n v="21790.3878"/>
  </r>
  <r>
    <x v="28"/>
    <x v="2"/>
    <n v="1623"/>
    <n v="246"/>
    <n v="415815"/>
    <n v="8.11"/>
    <x v="114"/>
    <x v="115"/>
    <n v="33722.5965"/>
  </r>
  <r>
    <x v="29"/>
    <x v="1"/>
    <n v="1092"/>
    <n v="408"/>
    <n v="280795"/>
    <n v="8.44"/>
    <x v="115"/>
    <x v="116"/>
    <n v="23699.097999999998"/>
  </r>
  <r>
    <x v="29"/>
    <x v="0"/>
    <n v="1137"/>
    <n v="226"/>
    <n v="81119"/>
    <n v="7.74"/>
    <x v="116"/>
    <x v="117"/>
    <n v="6278.6106"/>
  </r>
  <r>
    <x v="29"/>
    <x v="2"/>
    <n v="1155"/>
    <n v="425"/>
    <n v="93347"/>
    <n v="2.02"/>
    <x v="117"/>
    <x v="118"/>
    <n v="1885.6093999999998"/>
  </r>
  <r>
    <x v="29"/>
    <x v="3"/>
    <n v="1900"/>
    <n v="311"/>
    <n v="25177"/>
    <n v="2.89"/>
    <x v="118"/>
    <x v="119"/>
    <n v="727.61530000000005"/>
  </r>
  <r>
    <x v="30"/>
    <x v="3"/>
    <n v="1495"/>
    <n v="35"/>
    <n v="136845"/>
    <n v="4.4800000000000004"/>
    <x v="119"/>
    <x v="120"/>
    <n v="6130.6560000000009"/>
  </r>
  <r>
    <x v="30"/>
    <x v="0"/>
    <n v="1786"/>
    <n v="257"/>
    <n v="274831"/>
    <n v="4.68"/>
    <x v="120"/>
    <x v="121"/>
    <n v="12862.090799999998"/>
  </r>
  <r>
    <x v="30"/>
    <x v="1"/>
    <n v="1814"/>
    <n v="49"/>
    <n v="140804"/>
    <n v="1.76"/>
    <x v="121"/>
    <x v="122"/>
    <n v="2478.1504"/>
  </r>
  <r>
    <x v="30"/>
    <x v="2"/>
    <n v="1980"/>
    <n v="204"/>
    <n v="379431"/>
    <n v="3.09"/>
    <x v="122"/>
    <x v="123"/>
    <n v="11724.417899999999"/>
  </r>
  <r>
    <x v="31"/>
    <x v="2"/>
    <n v="816"/>
    <n v="196"/>
    <n v="95728"/>
    <n v="8.1999999999999993"/>
    <x v="123"/>
    <x v="124"/>
    <n v="7849.695999999999"/>
  </r>
  <r>
    <x v="31"/>
    <x v="3"/>
    <n v="891"/>
    <n v="45"/>
    <n v="95410"/>
    <n v="8.33"/>
    <x v="124"/>
    <x v="125"/>
    <n v="7947.6530000000002"/>
  </r>
  <r>
    <x v="31"/>
    <x v="1"/>
    <n v="1013"/>
    <n v="110"/>
    <n v="466382"/>
    <n v="5.3"/>
    <x v="125"/>
    <x v="126"/>
    <n v="24718.245999999999"/>
  </r>
  <r>
    <x v="31"/>
    <x v="0"/>
    <n v="1633"/>
    <n v="445"/>
    <n v="371156"/>
    <n v="2.2200000000000002"/>
    <x v="126"/>
    <x v="127"/>
    <n v="8239.6632000000009"/>
  </r>
  <r>
    <x v="32"/>
    <x v="0"/>
    <n v="118"/>
    <n v="262"/>
    <n v="487896"/>
    <n v="2.56"/>
    <x v="127"/>
    <x v="128"/>
    <n v="12490.1376"/>
  </r>
  <r>
    <x v="32"/>
    <x v="2"/>
    <n v="651"/>
    <n v="353"/>
    <n v="224699"/>
    <n v="5.61"/>
    <x v="128"/>
    <x v="129"/>
    <n v="12605.6139"/>
  </r>
  <r>
    <x v="32"/>
    <x v="3"/>
    <n v="1331"/>
    <n v="430"/>
    <n v="14437"/>
    <n v="3.29"/>
    <x v="129"/>
    <x v="130"/>
    <n v="474.97729999999996"/>
  </r>
  <r>
    <x v="32"/>
    <x v="1"/>
    <n v="1855"/>
    <n v="133"/>
    <n v="349413"/>
    <n v="3.3"/>
    <x v="130"/>
    <x v="131"/>
    <n v="11530.629000000001"/>
  </r>
  <r>
    <x v="33"/>
    <x v="2"/>
    <n v="663"/>
    <n v="236"/>
    <n v="479490"/>
    <n v="4.51"/>
    <x v="131"/>
    <x v="132"/>
    <n v="21624.999"/>
  </r>
  <r>
    <x v="33"/>
    <x v="0"/>
    <n v="1040"/>
    <n v="149"/>
    <n v="124404"/>
    <n v="5.23"/>
    <x v="132"/>
    <x v="133"/>
    <n v="6506.329200000001"/>
  </r>
  <r>
    <x v="33"/>
    <x v="3"/>
    <n v="1166"/>
    <n v="442"/>
    <n v="336949"/>
    <n v="4.68"/>
    <x v="133"/>
    <x v="134"/>
    <n v="15769.213199999998"/>
  </r>
  <r>
    <x v="33"/>
    <x v="1"/>
    <n v="1748"/>
    <n v="176"/>
    <n v="383681"/>
    <n v="9.24"/>
    <x v="134"/>
    <x v="135"/>
    <n v="35452.124400000001"/>
  </r>
  <r>
    <x v="34"/>
    <x v="1"/>
    <n v="115"/>
    <n v="281"/>
    <n v="357265"/>
    <n v="9.23"/>
    <x v="135"/>
    <x v="136"/>
    <n v="32975.559500000003"/>
  </r>
  <r>
    <x v="34"/>
    <x v="2"/>
    <n v="1249"/>
    <n v="351"/>
    <n v="321307"/>
    <n v="6.37"/>
    <x v="136"/>
    <x v="137"/>
    <n v="20467.255900000004"/>
  </r>
  <r>
    <x v="34"/>
    <x v="3"/>
    <n v="1411"/>
    <n v="186"/>
    <n v="461669"/>
    <n v="3.72"/>
    <x v="137"/>
    <x v="138"/>
    <n v="17174.086800000001"/>
  </r>
  <r>
    <x v="34"/>
    <x v="0"/>
    <n v="1501"/>
    <n v="75"/>
    <n v="262569"/>
    <n v="2.0099999999999998"/>
    <x v="138"/>
    <x v="139"/>
    <n v="5277.6368999999986"/>
  </r>
  <r>
    <x v="35"/>
    <x v="3"/>
    <n v="152"/>
    <n v="355"/>
    <n v="270766"/>
    <n v="9.48"/>
    <x v="139"/>
    <x v="140"/>
    <n v="25668.616800000003"/>
  </r>
  <r>
    <x v="35"/>
    <x v="0"/>
    <n v="927"/>
    <n v="358"/>
    <n v="177554"/>
    <n v="6.95"/>
    <x v="140"/>
    <x v="141"/>
    <n v="12340.003000000001"/>
  </r>
  <r>
    <x v="35"/>
    <x v="2"/>
    <n v="1159"/>
    <n v="411"/>
    <n v="135987"/>
    <n v="8.6999999999999993"/>
    <x v="141"/>
    <x v="142"/>
    <n v="11830.868999999999"/>
  </r>
  <r>
    <x v="35"/>
    <x v="1"/>
    <n v="1556"/>
    <n v="476"/>
    <n v="351556"/>
    <n v="3.89"/>
    <x v="142"/>
    <x v="143"/>
    <n v="13675.528400000001"/>
  </r>
  <r>
    <x v="36"/>
    <x v="2"/>
    <n v="1294"/>
    <n v="382"/>
    <n v="309914"/>
    <n v="8.0299999999999994"/>
    <x v="143"/>
    <x v="144"/>
    <n v="24886.0942"/>
  </r>
  <r>
    <x v="36"/>
    <x v="0"/>
    <n v="1587"/>
    <n v="385"/>
    <n v="126582"/>
    <n v="6.99"/>
    <x v="144"/>
    <x v="145"/>
    <n v="8848.0817999999999"/>
  </r>
  <r>
    <x v="36"/>
    <x v="3"/>
    <n v="1707"/>
    <n v="263"/>
    <n v="485280"/>
    <n v="9.0299999999999994"/>
    <x v="145"/>
    <x v="146"/>
    <n v="43820.783999999992"/>
  </r>
  <r>
    <x v="36"/>
    <x v="1"/>
    <n v="1957"/>
    <n v="234"/>
    <n v="222126"/>
    <n v="4.6100000000000003"/>
    <x v="146"/>
    <x v="147"/>
    <n v="10240.008600000001"/>
  </r>
  <r>
    <x v="37"/>
    <x v="0"/>
    <n v="362"/>
    <n v="399"/>
    <n v="145608"/>
    <n v="7.3"/>
    <x v="147"/>
    <x v="148"/>
    <n v="10629.384"/>
  </r>
  <r>
    <x v="37"/>
    <x v="1"/>
    <n v="1138"/>
    <n v="173"/>
    <n v="453243"/>
    <n v="2.86"/>
    <x v="148"/>
    <x v="149"/>
    <n v="12962.7498"/>
  </r>
  <r>
    <x v="37"/>
    <x v="3"/>
    <n v="1662"/>
    <n v="487"/>
    <n v="105980"/>
    <n v="9.08"/>
    <x v="149"/>
    <x v="150"/>
    <n v="9622.9840000000004"/>
  </r>
  <r>
    <x v="37"/>
    <x v="2"/>
    <n v="1895"/>
    <n v="305"/>
    <n v="104967"/>
    <n v="3.85"/>
    <x v="150"/>
    <x v="151"/>
    <n v="4041.2294999999999"/>
  </r>
  <r>
    <x v="38"/>
    <x v="0"/>
    <n v="861"/>
    <n v="153"/>
    <n v="317007"/>
    <n v="3.85"/>
    <x v="151"/>
    <x v="152"/>
    <n v="12204.7695"/>
  </r>
  <r>
    <x v="38"/>
    <x v="3"/>
    <n v="1063"/>
    <n v="47"/>
    <n v="464239"/>
    <n v="6.58"/>
    <x v="152"/>
    <x v="153"/>
    <n v="30546.926199999998"/>
  </r>
  <r>
    <x v="38"/>
    <x v="1"/>
    <n v="1440"/>
    <n v="65"/>
    <n v="126524"/>
    <n v="4.34"/>
    <x v="153"/>
    <x v="154"/>
    <n v="5491.1415999999999"/>
  </r>
  <r>
    <x v="38"/>
    <x v="2"/>
    <n v="1884"/>
    <n v="177"/>
    <n v="230448"/>
    <n v="7.8"/>
    <x v="154"/>
    <x v="155"/>
    <n v="17974.944"/>
  </r>
  <r>
    <x v="39"/>
    <x v="2"/>
    <n v="345"/>
    <n v="464"/>
    <n v="366881"/>
    <n v="4.55"/>
    <x v="155"/>
    <x v="156"/>
    <n v="16693.085500000001"/>
  </r>
  <r>
    <x v="39"/>
    <x v="3"/>
    <n v="510"/>
    <n v="195"/>
    <n v="224534"/>
    <n v="9.4"/>
    <x v="156"/>
    <x v="157"/>
    <n v="21106.196"/>
  </r>
  <r>
    <x v="39"/>
    <x v="0"/>
    <n v="946"/>
    <n v="47"/>
    <n v="466575"/>
    <n v="8.33"/>
    <x v="157"/>
    <x v="158"/>
    <n v="38865.697500000002"/>
  </r>
  <r>
    <x v="39"/>
    <x v="1"/>
    <n v="1371"/>
    <n v="56"/>
    <n v="257579"/>
    <n v="8.6199999999999992"/>
    <x v="158"/>
    <x v="159"/>
    <n v="22203.309799999999"/>
  </r>
  <r>
    <x v="40"/>
    <x v="1"/>
    <n v="393"/>
    <n v="181"/>
    <n v="462142"/>
    <n v="7.23"/>
    <x v="159"/>
    <x v="160"/>
    <n v="33412.866600000001"/>
  </r>
  <r>
    <x v="40"/>
    <x v="2"/>
    <n v="1098"/>
    <n v="190"/>
    <n v="340842"/>
    <n v="9.39"/>
    <x v="160"/>
    <x v="161"/>
    <n v="32005.063800000004"/>
  </r>
  <r>
    <x v="40"/>
    <x v="0"/>
    <n v="1399"/>
    <n v="49"/>
    <n v="12471"/>
    <n v="5.12"/>
    <x v="161"/>
    <x v="162"/>
    <n v="638.51520000000005"/>
  </r>
  <r>
    <x v="40"/>
    <x v="3"/>
    <n v="1658"/>
    <n v="416"/>
    <n v="98397"/>
    <n v="6.11"/>
    <x v="162"/>
    <x v="163"/>
    <n v="6012.0567000000001"/>
  </r>
  <r>
    <x v="41"/>
    <x v="0"/>
    <n v="1077"/>
    <n v="216"/>
    <n v="12447"/>
    <n v="1.8"/>
    <x v="163"/>
    <x v="164"/>
    <n v="224.04600000000002"/>
  </r>
  <r>
    <x v="41"/>
    <x v="1"/>
    <n v="1102"/>
    <n v="422"/>
    <n v="410330"/>
    <n v="7.74"/>
    <x v="164"/>
    <x v="165"/>
    <n v="31759.541999999998"/>
  </r>
  <r>
    <x v="41"/>
    <x v="2"/>
    <n v="1358"/>
    <n v="242"/>
    <n v="342129"/>
    <n v="4.9400000000000004"/>
    <x v="165"/>
    <x v="166"/>
    <n v="16901.172600000002"/>
  </r>
  <r>
    <x v="41"/>
    <x v="3"/>
    <n v="1596"/>
    <n v="211"/>
    <n v="17380"/>
    <n v="8.64"/>
    <x v="166"/>
    <x v="167"/>
    <n v="1501.6320000000001"/>
  </r>
  <r>
    <x v="42"/>
    <x v="0"/>
    <n v="364"/>
    <n v="72"/>
    <n v="211090"/>
    <n v="5.53"/>
    <x v="167"/>
    <x v="168"/>
    <n v="11673.277"/>
  </r>
  <r>
    <x v="42"/>
    <x v="3"/>
    <n v="442"/>
    <n v="53"/>
    <n v="441931"/>
    <n v="1.87"/>
    <x v="168"/>
    <x v="169"/>
    <n v="8264.1097000000009"/>
  </r>
  <r>
    <x v="42"/>
    <x v="1"/>
    <n v="490"/>
    <n v="29"/>
    <n v="364810"/>
    <n v="1.53"/>
    <x v="169"/>
    <x v="170"/>
    <n v="5581.5930000000008"/>
  </r>
  <r>
    <x v="42"/>
    <x v="2"/>
    <n v="609"/>
    <n v="135"/>
    <n v="373606"/>
    <n v="8.52"/>
    <x v="170"/>
    <x v="171"/>
    <n v="31831.231199999998"/>
  </r>
  <r>
    <x v="43"/>
    <x v="2"/>
    <n v="988"/>
    <n v="474"/>
    <n v="370070"/>
    <n v="9.4600000000000009"/>
    <x v="171"/>
    <x v="172"/>
    <n v="35008.622000000003"/>
  </r>
  <r>
    <x v="43"/>
    <x v="1"/>
    <n v="1033"/>
    <n v="392"/>
    <n v="282780"/>
    <n v="6.27"/>
    <x v="172"/>
    <x v="173"/>
    <n v="17730.305999999997"/>
  </r>
  <r>
    <x v="43"/>
    <x v="0"/>
    <n v="1946"/>
    <n v="270"/>
    <n v="198350"/>
    <n v="7.5"/>
    <x v="173"/>
    <x v="174"/>
    <n v="14876.25"/>
  </r>
  <r>
    <x v="43"/>
    <x v="3"/>
    <n v="1957"/>
    <n v="490"/>
    <n v="435726"/>
    <n v="4.7300000000000004"/>
    <x v="174"/>
    <x v="175"/>
    <n v="20609.839800000002"/>
  </r>
  <r>
    <x v="44"/>
    <x v="1"/>
    <n v="559"/>
    <n v="392"/>
    <n v="78789"/>
    <n v="3.19"/>
    <x v="175"/>
    <x v="176"/>
    <n v="2513.3690999999999"/>
  </r>
  <r>
    <x v="44"/>
    <x v="3"/>
    <n v="623"/>
    <n v="414"/>
    <n v="290354"/>
    <n v="6.49"/>
    <x v="176"/>
    <x v="177"/>
    <n v="18843.974600000001"/>
  </r>
  <r>
    <x v="44"/>
    <x v="2"/>
    <n v="1307"/>
    <n v="278"/>
    <n v="98596"/>
    <n v="2.4900000000000002"/>
    <x v="177"/>
    <x v="178"/>
    <n v="2455.0404000000003"/>
  </r>
  <r>
    <x v="44"/>
    <x v="0"/>
    <n v="1432"/>
    <n v="425"/>
    <n v="29589"/>
    <n v="4.5"/>
    <x v="178"/>
    <x v="179"/>
    <n v="1331.5049999999999"/>
  </r>
  <r>
    <x v="45"/>
    <x v="1"/>
    <n v="198"/>
    <n v="358"/>
    <n v="66682"/>
    <n v="6.73"/>
    <x v="179"/>
    <x v="180"/>
    <n v="4487.6985999999997"/>
  </r>
  <r>
    <x v="45"/>
    <x v="2"/>
    <n v="198"/>
    <n v="373"/>
    <n v="70707"/>
    <n v="4.83"/>
    <x v="180"/>
    <x v="181"/>
    <n v="3415.1481000000003"/>
  </r>
  <r>
    <x v="45"/>
    <x v="0"/>
    <n v="353"/>
    <n v="300"/>
    <n v="142507"/>
    <n v="5.3"/>
    <x v="181"/>
    <x v="182"/>
    <n v="7552.8710000000001"/>
  </r>
  <r>
    <x v="45"/>
    <x v="3"/>
    <n v="520"/>
    <n v="375"/>
    <n v="369525"/>
    <n v="6.54"/>
    <x v="182"/>
    <x v="183"/>
    <n v="24166.935000000001"/>
  </r>
  <r>
    <x v="46"/>
    <x v="1"/>
    <n v="961"/>
    <n v="358"/>
    <n v="62942"/>
    <n v="6.8"/>
    <x v="183"/>
    <x v="184"/>
    <n v="4280.0560000000005"/>
  </r>
  <r>
    <x v="46"/>
    <x v="0"/>
    <n v="1147"/>
    <n v="388"/>
    <n v="333851"/>
    <n v="2.44"/>
    <x v="184"/>
    <x v="185"/>
    <n v="8145.9643999999989"/>
  </r>
  <r>
    <x v="46"/>
    <x v="2"/>
    <n v="1375"/>
    <n v="330"/>
    <n v="377382"/>
    <n v="2.6"/>
    <x v="185"/>
    <x v="186"/>
    <n v="9811.9320000000007"/>
  </r>
  <r>
    <x v="46"/>
    <x v="3"/>
    <n v="1707"/>
    <n v="74"/>
    <n v="270958"/>
    <n v="3.09"/>
    <x v="186"/>
    <x v="187"/>
    <n v="8372.6021999999994"/>
  </r>
  <r>
    <x v="47"/>
    <x v="3"/>
    <n v="777"/>
    <n v="140"/>
    <n v="11435"/>
    <n v="1.6"/>
    <x v="187"/>
    <x v="188"/>
    <n v="182.96"/>
  </r>
  <r>
    <x v="47"/>
    <x v="2"/>
    <n v="833"/>
    <n v="380"/>
    <n v="224830"/>
    <n v="3.86"/>
    <x v="188"/>
    <x v="189"/>
    <n v="8678.4379999999983"/>
  </r>
  <r>
    <x v="47"/>
    <x v="0"/>
    <n v="1222"/>
    <n v="274"/>
    <n v="487289"/>
    <n v="3.16"/>
    <x v="189"/>
    <x v="190"/>
    <n v="15398.332400000001"/>
  </r>
  <r>
    <x v="47"/>
    <x v="1"/>
    <n v="1693"/>
    <n v="154"/>
    <n v="445944"/>
    <n v="5.69"/>
    <x v="190"/>
    <x v="191"/>
    <n v="25374.213600000003"/>
  </r>
  <r>
    <x v="48"/>
    <x v="2"/>
    <n v="405"/>
    <n v="66"/>
    <n v="418696"/>
    <n v="5.59"/>
    <x v="191"/>
    <x v="192"/>
    <n v="23405.106400000001"/>
  </r>
  <r>
    <x v="48"/>
    <x v="3"/>
    <n v="1035"/>
    <n v="171"/>
    <n v="148477"/>
    <n v="5.21"/>
    <x v="192"/>
    <x v="193"/>
    <n v="7735.6517000000003"/>
  </r>
  <r>
    <x v="48"/>
    <x v="0"/>
    <n v="1581"/>
    <n v="71"/>
    <n v="484364"/>
    <n v="3.55"/>
    <x v="193"/>
    <x v="194"/>
    <n v="17194.921999999999"/>
  </r>
  <r>
    <x v="48"/>
    <x v="1"/>
    <n v="1957"/>
    <n v="76"/>
    <n v="447902"/>
    <n v="6.09"/>
    <x v="194"/>
    <x v="195"/>
    <n v="27277.231799999998"/>
  </r>
  <r>
    <x v="49"/>
    <x v="3"/>
    <n v="119"/>
    <n v="456"/>
    <n v="82558"/>
    <n v="6.81"/>
    <x v="195"/>
    <x v="196"/>
    <n v="5622.1997999999994"/>
  </r>
  <r>
    <x v="49"/>
    <x v="0"/>
    <n v="337"/>
    <n v="68"/>
    <n v="456298"/>
    <n v="7.57"/>
    <x v="196"/>
    <x v="197"/>
    <n v="34541.758600000001"/>
  </r>
  <r>
    <x v="49"/>
    <x v="2"/>
    <n v="837"/>
    <n v="430"/>
    <n v="364820"/>
    <n v="4"/>
    <x v="197"/>
    <x v="198"/>
    <n v="14592.800000000001"/>
  </r>
  <r>
    <x v="49"/>
    <x v="1"/>
    <n v="1765"/>
    <n v="109"/>
    <n v="468301"/>
    <n v="1.82"/>
    <x v="198"/>
    <x v="199"/>
    <n v="8523.0781999999999"/>
  </r>
  <r>
    <x v="50"/>
    <x v="4"/>
    <m/>
    <m/>
    <m/>
    <m/>
    <x v="199"/>
    <x v="200"/>
    <m/>
  </r>
  <r>
    <x v="50"/>
    <x v="4"/>
    <m/>
    <m/>
    <m/>
    <m/>
    <x v="199"/>
    <x v="200"/>
    <m/>
  </r>
  <r>
    <x v="50"/>
    <x v="4"/>
    <m/>
    <m/>
    <m/>
    <m/>
    <x v="199"/>
    <x v="200"/>
    <m/>
  </r>
  <r>
    <x v="50"/>
    <x v="4"/>
    <m/>
    <m/>
    <m/>
    <m/>
    <x v="199"/>
    <x v="200"/>
    <m/>
  </r>
  <r>
    <x v="50"/>
    <x v="4"/>
    <m/>
    <m/>
    <m/>
    <m/>
    <x v="199"/>
    <x v="200"/>
    <m/>
  </r>
  <r>
    <x v="50"/>
    <x v="4"/>
    <m/>
    <m/>
    <m/>
    <m/>
    <x v="199"/>
    <x v="200"/>
    <m/>
  </r>
  <r>
    <x v="50"/>
    <x v="4"/>
    <m/>
    <m/>
    <m/>
    <m/>
    <x v="199"/>
    <x v="200"/>
    <m/>
  </r>
  <r>
    <x v="50"/>
    <x v="4"/>
    <m/>
    <m/>
    <m/>
    <m/>
    <x v="199"/>
    <x v="20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d v="2024-12-30T00:00:00"/>
    <x v="0"/>
    <x v="0"/>
    <n v="204"/>
    <n v="379431"/>
    <n v="3.09"/>
    <n v="25140"/>
    <n v="4.6806929323118035E-3"/>
    <n v="11724.417899999999"/>
    <x v="0"/>
  </r>
  <r>
    <d v="2024-07-15T00:00:00"/>
    <x v="1"/>
    <x v="1"/>
    <n v="115"/>
    <n v="154169"/>
    <n v="3.74"/>
    <n v="10740"/>
    <n v="1.1967386439556591E-2"/>
    <n v="5765.9206000000004"/>
    <x v="1"/>
  </r>
  <r>
    <d v="2025-02-10T00:00:00"/>
    <x v="1"/>
    <x v="2"/>
    <n v="234"/>
    <n v="222126"/>
    <n v="4.6100000000000003"/>
    <n v="3314"/>
    <n v="7.7568587198256845E-3"/>
    <n v="10240.008600000001"/>
    <x v="0"/>
  </r>
  <r>
    <d v="2025-03-31T00:00:00"/>
    <x v="2"/>
    <x v="2"/>
    <n v="490"/>
    <n v="435726"/>
    <n v="4.7300000000000004"/>
    <n v="15969"/>
    <n v="3.3667947287974553E-3"/>
    <n v="20609.839800000002"/>
    <x v="2"/>
  </r>
  <r>
    <d v="2025-05-05T00:00:00"/>
    <x v="1"/>
    <x v="2"/>
    <n v="76"/>
    <n v="447902"/>
    <n v="6.09"/>
    <n v="33381"/>
    <n v="4.1995793722733989E-3"/>
    <n v="27277.231799999998"/>
    <x v="2"/>
  </r>
  <r>
    <d v="2025-03-31T00:00:00"/>
    <x v="3"/>
    <x v="3"/>
    <n v="270"/>
    <n v="198350"/>
    <n v="7.5"/>
    <n v="11805"/>
    <n v="8.4497101083942528E-3"/>
    <n v="14876.25"/>
    <x v="2"/>
  </r>
  <r>
    <d v="2024-10-07T00:00:00"/>
    <x v="1"/>
    <x v="4"/>
    <n v="67"/>
    <n v="187183"/>
    <n v="6.25"/>
    <n v="41215"/>
    <n v="1.0000908202133741E-2"/>
    <n v="11698.9375"/>
    <x v="3"/>
  </r>
  <r>
    <d v="2024-12-09T00:00:00"/>
    <x v="3"/>
    <x v="5"/>
    <n v="210"/>
    <n v="20607"/>
    <n v="4.2"/>
    <n v="20861"/>
    <n v="8.3806473528412681E-2"/>
    <n v="865.49400000000003"/>
    <x v="3"/>
  </r>
  <r>
    <d v="2024-10-07T00:00:00"/>
    <x v="0"/>
    <x v="6"/>
    <n v="267"/>
    <n v="379363"/>
    <n v="1.75"/>
    <n v="43836"/>
    <n v="4.3810281972675247E-3"/>
    <n v="6638.8525000000009"/>
    <x v="3"/>
  </r>
  <r>
    <d v="2024-09-30T00:00:00"/>
    <x v="2"/>
    <x v="7"/>
    <n v="212"/>
    <n v="94360"/>
    <n v="7.36"/>
    <n v="36851"/>
    <n v="1.8079694785926241E-2"/>
    <n v="6944.8959999999997"/>
    <x v="1"/>
  </r>
  <r>
    <d v="2024-09-23T00:00:00"/>
    <x v="3"/>
    <x v="8"/>
    <n v="231"/>
    <n v="268516"/>
    <n v="8.5500000000000007"/>
    <n v="24018"/>
    <n v="6.2566104068286429E-3"/>
    <n v="22958.118000000002"/>
    <x v="1"/>
  </r>
  <r>
    <d v="2024-12-02T00:00:00"/>
    <x v="0"/>
    <x v="9"/>
    <n v="196"/>
    <n v="470269"/>
    <n v="4.79"/>
    <n v="26103"/>
    <n v="3.6277109484146308E-3"/>
    <n v="22525.8851"/>
    <x v="3"/>
  </r>
  <r>
    <d v="2024-12-23T00:00:00"/>
    <x v="2"/>
    <x v="10"/>
    <n v="311"/>
    <n v="25177"/>
    <n v="2.89"/>
    <n v="14154"/>
    <n v="6.3113158835445049E-2"/>
    <n v="727.61530000000005"/>
    <x v="3"/>
  </r>
  <r>
    <d v="2025-02-17T00:00:00"/>
    <x v="0"/>
    <x v="11"/>
    <n v="305"/>
    <n v="104967"/>
    <n v="3.85"/>
    <n v="31853"/>
    <n v="1.5147617822744291E-2"/>
    <n v="4041.2294999999999"/>
    <x v="0"/>
  </r>
  <r>
    <d v="2025-02-24T00:00:00"/>
    <x v="0"/>
    <x v="12"/>
    <n v="177"/>
    <n v="230448"/>
    <n v="7.8"/>
    <n v="22713"/>
    <n v="7.4073109768798169E-3"/>
    <n v="17974.944"/>
    <x v="0"/>
  </r>
  <r>
    <d v="2025-01-13T00:00:00"/>
    <x v="1"/>
    <x v="13"/>
    <n v="133"/>
    <n v="349413"/>
    <n v="3.3"/>
    <n v="14548"/>
    <n v="4.9282654051223049E-3"/>
    <n v="11530.629000000001"/>
    <x v="0"/>
  </r>
  <r>
    <d v="2024-11-25T00:00:00"/>
    <x v="1"/>
    <x v="14"/>
    <n v="161"/>
    <n v="282466"/>
    <n v="5.17"/>
    <n v="1810"/>
    <n v="5.9936417126309005E-3"/>
    <n v="14603.492199999999"/>
    <x v="3"/>
  </r>
  <r>
    <d v="2024-09-09T00:00:00"/>
    <x v="0"/>
    <x v="15"/>
    <n v="414"/>
    <n v="307524"/>
    <n v="1.76"/>
    <n v="40478"/>
    <n v="4.6435400163889647E-3"/>
    <n v="5412.4224000000004"/>
    <x v="1"/>
  </r>
  <r>
    <d v="2024-11-04T00:00:00"/>
    <x v="3"/>
    <x v="16"/>
    <n v="218"/>
    <n v="439080"/>
    <n v="5.68"/>
    <n v="36095"/>
    <n v="3.6508153411678964E-3"/>
    <n v="24939.743999999999"/>
    <x v="3"/>
  </r>
  <r>
    <d v="2024-10-28T00:00:00"/>
    <x v="2"/>
    <x v="17"/>
    <n v="157"/>
    <n v="305827"/>
    <n v="1.99"/>
    <n v="46643"/>
    <n v="5.4180958515762179E-3"/>
    <n v="6085.9573"/>
    <x v="3"/>
  </r>
  <r>
    <d v="2024-12-30T00:00:00"/>
    <x v="1"/>
    <x v="17"/>
    <n v="49"/>
    <n v="140804"/>
    <n v="1.76"/>
    <n v="4313"/>
    <n v="1.253515525127127E-2"/>
    <n v="2478.1504"/>
    <x v="0"/>
  </r>
  <r>
    <d v="2024-12-30T00:00:00"/>
    <x v="3"/>
    <x v="18"/>
    <n v="257"/>
    <n v="274831"/>
    <n v="4.68"/>
    <n v="9118"/>
    <n v="5.5634189738421064E-3"/>
    <n v="12862.090799999998"/>
    <x v="0"/>
  </r>
  <r>
    <d v="2024-06-24T00:00:00"/>
    <x v="0"/>
    <x v="19"/>
    <n v="109"/>
    <n v="26295"/>
    <n v="9.1199999999999992"/>
    <n v="30635"/>
    <n v="6.3510173036698994E-2"/>
    <n v="2398.1039999999998"/>
    <x v="1"/>
  </r>
  <r>
    <d v="2025-05-12T00:00:00"/>
    <x v="1"/>
    <x v="20"/>
    <n v="109"/>
    <n v="468301"/>
    <n v="1.82"/>
    <n v="20042"/>
    <n v="3.5361871958419907E-3"/>
    <n v="8523.0781999999999"/>
    <x v="2"/>
  </r>
  <r>
    <d v="2024-07-08T00:00:00"/>
    <x v="1"/>
    <x v="21"/>
    <n v="85"/>
    <n v="58223"/>
    <n v="8.74"/>
    <n v="22728"/>
    <n v="2.8717173625543171E-2"/>
    <n v="5088.6902"/>
    <x v="1"/>
  </r>
  <r>
    <d v="2024-07-29T00:00:00"/>
    <x v="3"/>
    <x v="22"/>
    <n v="261"/>
    <n v="287574"/>
    <n v="4.3600000000000003"/>
    <n v="39272"/>
    <n v="5.1986619096302169E-3"/>
    <n v="12538.2264"/>
    <x v="1"/>
  </r>
  <r>
    <d v="2024-06-17T00:00:00"/>
    <x v="0"/>
    <x v="23"/>
    <n v="371"/>
    <n v="169496"/>
    <n v="8.11"/>
    <n v="46670"/>
    <n v="8.1535847453627231E-3"/>
    <n v="13746.125599999999"/>
    <x v="1"/>
  </r>
  <r>
    <d v="2024-08-19T00:00:00"/>
    <x v="3"/>
    <x v="24"/>
    <n v="86"/>
    <n v="188655"/>
    <n v="7.24"/>
    <n v="22206"/>
    <n v="8.825634093981077E-3"/>
    <n v="13658.622000000001"/>
    <x v="1"/>
  </r>
  <r>
    <d v="2025-01-20T00:00:00"/>
    <x v="1"/>
    <x v="25"/>
    <n v="176"/>
    <n v="383681"/>
    <n v="9.24"/>
    <n v="43122"/>
    <n v="4.0971536250166149E-3"/>
    <n v="35452.124400000001"/>
    <x v="0"/>
  </r>
  <r>
    <d v="2024-11-25T00:00:00"/>
    <x v="0"/>
    <x v="26"/>
    <n v="378"/>
    <n v="336661"/>
    <n v="6.2"/>
    <n v="28498"/>
    <n v="3.9565022381564839E-3"/>
    <n v="20872.982"/>
    <x v="3"/>
  </r>
  <r>
    <d v="2024-10-21T00:00:00"/>
    <x v="2"/>
    <x v="27"/>
    <n v="223"/>
    <n v="256910"/>
    <n v="5.41"/>
    <n v="44321"/>
    <n v="5.7763419096181542E-3"/>
    <n v="13898.831"/>
    <x v="3"/>
  </r>
  <r>
    <d v="2025-02-10T00:00:00"/>
    <x v="2"/>
    <x v="27"/>
    <n v="263"/>
    <n v="485280"/>
    <n v="9.0299999999999994"/>
    <n v="24494"/>
    <n v="2.9756017144741179E-3"/>
    <n v="43820.783999999992"/>
    <x v="0"/>
  </r>
  <r>
    <d v="2025-04-21T00:00:00"/>
    <x v="2"/>
    <x v="27"/>
    <n v="74"/>
    <n v="270958"/>
    <n v="3.09"/>
    <n v="14090"/>
    <n v="6.0267642955734836E-3"/>
    <n v="8372.6021999999994"/>
    <x v="2"/>
  </r>
  <r>
    <d v="2024-07-22T00:00:00"/>
    <x v="3"/>
    <x v="28"/>
    <n v="385"/>
    <n v="198278"/>
    <n v="5.34"/>
    <n v="32763"/>
    <n v="6.6371458255580548E-3"/>
    <n v="10588.045199999999"/>
    <x v="1"/>
  </r>
  <r>
    <d v="2024-06-10T00:00:00"/>
    <x v="0"/>
    <x v="29"/>
    <n v="414"/>
    <n v="316555"/>
    <n v="2.37"/>
    <n v="7924"/>
    <n v="4.0530081660374974E-3"/>
    <n v="7502.3535000000011"/>
    <x v="4"/>
  </r>
  <r>
    <d v="2024-12-02T00:00:00"/>
    <x v="1"/>
    <x v="30"/>
    <n v="71"/>
    <n v="421957"/>
    <n v="3.79"/>
    <n v="36103"/>
    <n v="3.8511033114748661E-3"/>
    <n v="15992.170300000002"/>
    <x v="3"/>
  </r>
  <r>
    <d v="2025-04-28T00:00:00"/>
    <x v="1"/>
    <x v="31"/>
    <n v="154"/>
    <n v="445944"/>
    <n v="5.69"/>
    <n v="14216"/>
    <n v="3.4511059684624078E-3"/>
    <n v="25374.213600000003"/>
    <x v="2"/>
  </r>
  <r>
    <d v="2024-08-26T00:00:00"/>
    <x v="1"/>
    <x v="32"/>
    <n v="76"/>
    <n v="453799"/>
    <n v="5.71"/>
    <n v="24913"/>
    <n v="3.5456226214689766E-3"/>
    <n v="25911.922899999998"/>
    <x v="1"/>
  </r>
  <r>
    <d v="2025-02-17T00:00:00"/>
    <x v="2"/>
    <x v="33"/>
    <n v="487"/>
    <n v="105980"/>
    <n v="9.08"/>
    <n v="22996"/>
    <n v="1.1086997546706926E-2"/>
    <n v="9622.9840000000004"/>
    <x v="0"/>
  </r>
  <r>
    <d v="2025-03-10T00:00:00"/>
    <x v="2"/>
    <x v="34"/>
    <n v="416"/>
    <n v="98397"/>
    <n v="6.11"/>
    <n v="11383"/>
    <n v="1.2622336046830695E-2"/>
    <n v="6012.0567000000001"/>
    <x v="2"/>
  </r>
  <r>
    <d v="2025-01-06T00:00:00"/>
    <x v="3"/>
    <x v="35"/>
    <n v="445"/>
    <n v="371156"/>
    <n v="2.2200000000000002"/>
    <n v="2798"/>
    <n v="3.2008104408927781E-3"/>
    <n v="8239.6632000000009"/>
    <x v="0"/>
  </r>
  <r>
    <d v="2024-12-16T00:00:00"/>
    <x v="0"/>
    <x v="36"/>
    <n v="246"/>
    <n v="415815"/>
    <n v="8.11"/>
    <n v="18656"/>
    <n v="3.311568846722701E-3"/>
    <n v="33722.5965"/>
    <x v="3"/>
  </r>
  <r>
    <d v="2025-03-17T00:00:00"/>
    <x v="2"/>
    <x v="37"/>
    <n v="211"/>
    <n v="17380"/>
    <n v="8.64"/>
    <n v="35801"/>
    <n v="7.9689298043728429E-2"/>
    <n v="1501.6320000000001"/>
    <x v="2"/>
  </r>
  <r>
    <d v="2024-09-09T00:00:00"/>
    <x v="1"/>
    <x v="38"/>
    <n v="20"/>
    <n v="378054"/>
    <n v="9.09"/>
    <n v="26663"/>
    <n v="4.1581361392816901E-3"/>
    <n v="34365.1086"/>
    <x v="1"/>
  </r>
  <r>
    <d v="2024-12-16T00:00:00"/>
    <x v="3"/>
    <x v="38"/>
    <n v="233"/>
    <n v="327183"/>
    <n v="6.66"/>
    <n v="13316"/>
    <n v="4.1536387893013997E-3"/>
    <n v="21790.3878"/>
    <x v="3"/>
  </r>
  <r>
    <d v="2025-02-10T00:00:00"/>
    <x v="3"/>
    <x v="39"/>
    <n v="385"/>
    <n v="126582"/>
    <n v="6.99"/>
    <n v="42832"/>
    <n v="9.4958208908059605E-3"/>
    <n v="8848.0817999999999"/>
    <x v="0"/>
  </r>
  <r>
    <d v="2025-05-05T00:00:00"/>
    <x v="3"/>
    <x v="40"/>
    <n v="71"/>
    <n v="484364"/>
    <n v="3.55"/>
    <n v="16149"/>
    <n v="3.1174901520344203E-3"/>
    <n v="17194.921999999999"/>
    <x v="2"/>
  </r>
  <r>
    <d v="2025-02-03T00:00:00"/>
    <x v="1"/>
    <x v="41"/>
    <n v="476"/>
    <n v="351556"/>
    <n v="3.89"/>
    <n v="10825"/>
    <n v="3.0720567989168156E-3"/>
    <n v="13675.528400000001"/>
    <x v="0"/>
  </r>
  <r>
    <d v="2024-06-03T00:00:00"/>
    <x v="2"/>
    <x v="42"/>
    <n v="445"/>
    <n v="395536"/>
    <n v="4.1100000000000003"/>
    <n v="30671"/>
    <n v="2.7557542170624167E-3"/>
    <n v="16256.529600000002"/>
    <x v="4"/>
  </r>
  <r>
    <d v="2024-08-12T00:00:00"/>
    <x v="0"/>
    <x v="43"/>
    <n v="200"/>
    <n v="307612"/>
    <n v="6.01"/>
    <n v="37903"/>
    <n v="4.3366318609156986E-3"/>
    <n v="18487.481200000002"/>
    <x v="1"/>
  </r>
  <r>
    <d v="2024-08-12T00:00:00"/>
    <x v="1"/>
    <x v="44"/>
    <n v="203"/>
    <n v="489188"/>
    <n v="6.23"/>
    <n v="47101"/>
    <n v="2.7085701202809553E-3"/>
    <n v="30476.412400000001"/>
    <x v="1"/>
  </r>
  <r>
    <d v="2024-10-14T00:00:00"/>
    <x v="1"/>
    <x v="45"/>
    <n v="303"/>
    <n v="388555"/>
    <n v="8.9"/>
    <n v="36397"/>
    <n v="3.1501331857780751E-3"/>
    <n v="34581.395000000004"/>
    <x v="3"/>
  </r>
  <r>
    <d v="2024-09-02T00:00:00"/>
    <x v="0"/>
    <x v="46"/>
    <n v="475"/>
    <n v="496982"/>
    <n v="6.41"/>
    <n v="24384"/>
    <n v="2.1026918479944948E-3"/>
    <n v="31856.546200000001"/>
    <x v="1"/>
  </r>
  <r>
    <d v="2024-12-09T00:00:00"/>
    <x v="0"/>
    <x v="47"/>
    <n v="141"/>
    <n v="35842"/>
    <n v="7.47"/>
    <n v="18601"/>
    <n v="3.8307014117515761E-2"/>
    <n v="2677.3974000000003"/>
    <x v="3"/>
  </r>
  <r>
    <d v="2024-11-04T00:00:00"/>
    <x v="2"/>
    <x v="48"/>
    <n v="463"/>
    <n v="258944"/>
    <n v="6.08"/>
    <n v="16443"/>
    <n v="4.0317597627286209E-3"/>
    <n v="15743.7952"/>
    <x v="3"/>
  </r>
  <r>
    <d v="2024-12-16T00:00:00"/>
    <x v="1"/>
    <x v="49"/>
    <n v="70"/>
    <n v="465553"/>
    <n v="3.32"/>
    <n v="20692"/>
    <n v="3.0759118725472716E-3"/>
    <n v="15456.3596"/>
    <x v="3"/>
  </r>
  <r>
    <d v="2025-01-27T00:00:00"/>
    <x v="3"/>
    <x v="50"/>
    <n v="75"/>
    <n v="262569"/>
    <n v="2.0099999999999998"/>
    <n v="19119"/>
    <n v="5.4309533874905263E-3"/>
    <n v="5277.6368999999986"/>
    <x v="0"/>
  </r>
  <r>
    <d v="2024-12-30T00:00:00"/>
    <x v="2"/>
    <x v="51"/>
    <n v="35"/>
    <n v="136845"/>
    <n v="4.4800000000000004"/>
    <n v="39931"/>
    <n v="1.0669005078738719E-2"/>
    <n v="6130.6560000000009"/>
    <x v="0"/>
  </r>
  <r>
    <d v="2024-12-09T00:00:00"/>
    <x v="1"/>
    <x v="52"/>
    <n v="375"/>
    <n v="220616"/>
    <n v="1.81"/>
    <n v="22724"/>
    <n v="5.0721615839286359E-3"/>
    <n v="3993.1496000000002"/>
    <x v="3"/>
  </r>
  <r>
    <d v="2024-11-11T00:00:00"/>
    <x v="3"/>
    <x v="53"/>
    <n v="337"/>
    <n v="87305"/>
    <n v="2.46"/>
    <n v="30428"/>
    <n v="1.3172212358971423E-2"/>
    <n v="2147.703"/>
    <x v="3"/>
  </r>
  <r>
    <d v="2024-09-16T00:00:00"/>
    <x v="3"/>
    <x v="54"/>
    <n v="347"/>
    <n v="392355"/>
    <n v="8.59"/>
    <n v="30270"/>
    <n v="2.8673012960201858E-3"/>
    <n v="33703.294500000004"/>
    <x v="1"/>
  </r>
  <r>
    <d v="2024-11-04T00:00:00"/>
    <x v="1"/>
    <x v="55"/>
    <n v="69"/>
    <n v="54935"/>
    <n v="6.85"/>
    <n v="36484"/>
    <n v="2.5430053699827069E-2"/>
    <n v="3763.0474999999997"/>
    <x v="3"/>
  </r>
  <r>
    <d v="2024-12-02T00:00:00"/>
    <x v="3"/>
    <x v="56"/>
    <n v="268"/>
    <n v="309904"/>
    <n v="6.37"/>
    <n v="3455"/>
    <n v="3.7850431101244257E-3"/>
    <n v="19740.884800000003"/>
    <x v="3"/>
  </r>
  <r>
    <d v="2025-02-24T00:00:00"/>
    <x v="1"/>
    <x v="57"/>
    <n v="65"/>
    <n v="126524"/>
    <n v="4.34"/>
    <n v="49772"/>
    <n v="1.0867503398564699E-2"/>
    <n v="5491.1415999999999"/>
    <x v="0"/>
  </r>
  <r>
    <d v="2024-09-30T00:00:00"/>
    <x v="1"/>
    <x v="58"/>
    <n v="408"/>
    <n v="370269"/>
    <n v="3.3"/>
    <n v="30575"/>
    <n v="2.7682576721248606E-3"/>
    <n v="12218.877"/>
    <x v="1"/>
  </r>
  <r>
    <d v="2025-04-07T00:00:00"/>
    <x v="3"/>
    <x v="59"/>
    <n v="425"/>
    <n v="29589"/>
    <n v="4.5"/>
    <n v="42964"/>
    <n v="3.4032917638311531E-2"/>
    <n v="1331.5049999999999"/>
    <x v="2"/>
  </r>
  <r>
    <d v="2024-09-02T00:00:00"/>
    <x v="1"/>
    <x v="60"/>
    <n v="182"/>
    <n v="101332"/>
    <n v="7.16"/>
    <n v="37829"/>
    <n v="1.2306082974775983E-2"/>
    <n v="7255.3711999999996"/>
    <x v="1"/>
  </r>
  <r>
    <d v="2024-07-01T00:00:00"/>
    <x v="3"/>
    <x v="61"/>
    <n v="63"/>
    <n v="315305"/>
    <n v="6.19"/>
    <n v="5914"/>
    <n v="4.3037693661692649E-3"/>
    <n v="19517.379500000003"/>
    <x v="1"/>
  </r>
  <r>
    <d v="2025-01-27T00:00:00"/>
    <x v="2"/>
    <x v="62"/>
    <n v="186"/>
    <n v="461669"/>
    <n v="3.72"/>
    <n v="43999"/>
    <n v="2.6534161921203288E-3"/>
    <n v="17174.086800000001"/>
    <x v="0"/>
  </r>
  <r>
    <d v="2024-09-09T00:00:00"/>
    <x v="2"/>
    <x v="63"/>
    <n v="309"/>
    <n v="64583"/>
    <n v="8.99"/>
    <n v="10217"/>
    <n v="1.7032345973398571E-2"/>
    <n v="5806.0117000000009"/>
    <x v="1"/>
  </r>
  <r>
    <d v="2025-03-10T00:00:00"/>
    <x v="3"/>
    <x v="64"/>
    <n v="49"/>
    <n v="12471"/>
    <n v="5.12"/>
    <n v="14722"/>
    <n v="0.10825114265095021"/>
    <n v="638.51520000000005"/>
    <x v="2"/>
  </r>
  <r>
    <d v="2024-07-22T00:00:00"/>
    <x v="0"/>
    <x v="65"/>
    <n v="430"/>
    <n v="295032"/>
    <n v="7.86"/>
    <n v="26067"/>
    <n v="3.2572737872501967E-3"/>
    <n v="23189.515200000002"/>
    <x v="1"/>
  </r>
  <r>
    <d v="2025-04-21T00:00:00"/>
    <x v="0"/>
    <x v="66"/>
    <n v="330"/>
    <n v="377382"/>
    <n v="2.6"/>
    <n v="7875"/>
    <n v="2.7690774864725927E-3"/>
    <n v="9811.9320000000007"/>
    <x v="2"/>
  </r>
  <r>
    <d v="2025-03-03T00:00:00"/>
    <x v="1"/>
    <x v="67"/>
    <n v="56"/>
    <n v="257579"/>
    <n v="8.6199999999999992"/>
    <n v="33799"/>
    <n v="5.1052298518124532E-3"/>
    <n v="22203.309799999999"/>
    <x v="2"/>
  </r>
  <r>
    <d v="2025-03-17T00:00:00"/>
    <x v="0"/>
    <x v="68"/>
    <n v="242"/>
    <n v="342129"/>
    <n v="4.9400000000000004"/>
    <n v="29116"/>
    <n v="3.2619275185675578E-3"/>
    <n v="16901.172600000002"/>
    <x v="2"/>
  </r>
  <r>
    <d v="2024-06-17T00:00:00"/>
    <x v="3"/>
    <x v="69"/>
    <n v="40"/>
    <n v="122732"/>
    <n v="8.19"/>
    <n v="22482"/>
    <n v="1.0551445425805821E-2"/>
    <n v="10051.7508"/>
    <x v="1"/>
  </r>
  <r>
    <d v="2025-01-13T00:00:00"/>
    <x v="2"/>
    <x v="70"/>
    <n v="430"/>
    <n v="14437"/>
    <n v="3.29"/>
    <n v="40868"/>
    <n v="6.2409087760615087E-2"/>
    <n v="474.97729999999996"/>
    <x v="0"/>
  </r>
  <r>
    <d v="2024-06-03T00:00:00"/>
    <x v="0"/>
    <x v="71"/>
    <n v="310"/>
    <n v="42654"/>
    <n v="4.9800000000000004"/>
    <n v="9566"/>
    <n v="2.3491348994232664E-2"/>
    <n v="2124.1692000000003"/>
    <x v="4"/>
  </r>
  <r>
    <d v="2025-04-07T00:00:00"/>
    <x v="0"/>
    <x v="72"/>
    <n v="278"/>
    <n v="98596"/>
    <n v="2.4900000000000002"/>
    <n v="47603"/>
    <n v="1.0436528865268368E-2"/>
    <n v="2455.0404000000003"/>
    <x v="2"/>
  </r>
  <r>
    <d v="2024-08-26T00:00:00"/>
    <x v="3"/>
    <x v="73"/>
    <n v="71"/>
    <n v="186454"/>
    <n v="3.91"/>
    <n v="9942"/>
    <n v="6.5914381026955706E-3"/>
    <n v="7290.3514000000005"/>
    <x v="1"/>
  </r>
  <r>
    <d v="2025-02-10T00:00:00"/>
    <x v="0"/>
    <x v="74"/>
    <n v="382"/>
    <n v="309914"/>
    <n v="8.0299999999999994"/>
    <n v="23489"/>
    <n v="2.9427518601934728E-3"/>
    <n v="24886.0942"/>
    <x v="0"/>
  </r>
  <r>
    <d v="2024-11-25T00:00:00"/>
    <x v="2"/>
    <x v="75"/>
    <n v="408"/>
    <n v="62535"/>
    <n v="8.9"/>
    <n v="37876"/>
    <n v="1.4152074838090669E-2"/>
    <n v="5565.6150000000007"/>
    <x v="3"/>
  </r>
  <r>
    <d v="2025-01-27T00:00:00"/>
    <x v="0"/>
    <x v="76"/>
    <n v="351"/>
    <n v="321307"/>
    <n v="6.37"/>
    <n v="20560"/>
    <n v="2.7948348464241365E-3"/>
    <n v="20467.255900000004"/>
    <x v="0"/>
  </r>
  <r>
    <d v="2024-06-24T00:00:00"/>
    <x v="3"/>
    <x v="77"/>
    <n v="403"/>
    <n v="298421"/>
    <n v="3.5"/>
    <n v="31280"/>
    <n v="2.798060458211721E-3"/>
    <n v="10444.735000000001"/>
    <x v="1"/>
  </r>
  <r>
    <d v="2025-04-28T00:00:00"/>
    <x v="3"/>
    <x v="78"/>
    <n v="274"/>
    <n v="487289"/>
    <n v="3.16"/>
    <n v="32500"/>
    <n v="1.9454574184929272E-3"/>
    <n v="15398.332400000001"/>
    <x v="2"/>
  </r>
  <r>
    <d v="2024-09-23T00:00:00"/>
    <x v="2"/>
    <x v="79"/>
    <n v="212"/>
    <n v="63177"/>
    <n v="8.1300000000000008"/>
    <n v="38883"/>
    <n v="1.592351646960128E-2"/>
    <n v="5136.2901000000011"/>
    <x v="1"/>
  </r>
  <r>
    <d v="2024-08-12T00:00:00"/>
    <x v="2"/>
    <x v="80"/>
    <n v="178"/>
    <n v="102042"/>
    <n v="5.42"/>
    <n v="6915"/>
    <n v="1.011348268360087E-2"/>
    <n v="5530.6763999999994"/>
    <x v="1"/>
  </r>
  <r>
    <d v="2024-06-10T00:00:00"/>
    <x v="2"/>
    <x v="81"/>
    <n v="203"/>
    <n v="413878"/>
    <n v="3.16"/>
    <n v="21205"/>
    <n v="2.4016739232334168E-3"/>
    <n v="13078.544800000001"/>
    <x v="4"/>
  </r>
  <r>
    <d v="2025-01-20T00:00:00"/>
    <x v="2"/>
    <x v="82"/>
    <n v="442"/>
    <n v="336949"/>
    <n v="4.68"/>
    <n v="7705"/>
    <n v="2.1486931256659019E-3"/>
    <n v="15769.213199999998"/>
    <x v="0"/>
  </r>
  <r>
    <d v="2025-02-03T00:00:00"/>
    <x v="0"/>
    <x v="83"/>
    <n v="411"/>
    <n v="135987"/>
    <n v="8.6999999999999993"/>
    <n v="40323"/>
    <n v="5.5005257855530306E-3"/>
    <n v="11830.868999999999"/>
    <x v="0"/>
  </r>
  <r>
    <d v="2024-12-23T00:00:00"/>
    <x v="0"/>
    <x v="84"/>
    <n v="425"/>
    <n v="93347"/>
    <n v="2.02"/>
    <n v="47502"/>
    <n v="7.8202834584935772E-3"/>
    <n v="1885.6093999999998"/>
    <x v="3"/>
  </r>
  <r>
    <d v="2025-04-21T00:00:00"/>
    <x v="3"/>
    <x v="85"/>
    <n v="388"/>
    <n v="333851"/>
    <n v="2.44"/>
    <n v="8471"/>
    <n v="2.2734693021737242E-3"/>
    <n v="8145.9643999999989"/>
    <x v="2"/>
  </r>
  <r>
    <d v="2025-02-17T00:00:00"/>
    <x v="1"/>
    <x v="86"/>
    <n v="173"/>
    <n v="453243"/>
    <n v="2.86"/>
    <n v="44097"/>
    <n v="2.1291007252180398E-3"/>
    <n v="12962.7498"/>
    <x v="0"/>
  </r>
  <r>
    <d v="2024-12-23T00:00:00"/>
    <x v="3"/>
    <x v="87"/>
    <n v="226"/>
    <n v="81119"/>
    <n v="7.74"/>
    <n v="35359"/>
    <n v="1.1230414576116569E-2"/>
    <n v="6278.6106"/>
    <x v="3"/>
  </r>
  <r>
    <d v="2024-06-03T00:00:00"/>
    <x v="1"/>
    <x v="88"/>
    <n v="88"/>
    <n v="344084"/>
    <n v="8.06"/>
    <n v="5904"/>
    <n v="3.0428616268120576E-3"/>
    <n v="27733.170400000003"/>
    <x v="4"/>
  </r>
  <r>
    <d v="2025-03-17T00:00:00"/>
    <x v="1"/>
    <x v="89"/>
    <n v="422"/>
    <n v="410330"/>
    <n v="7.74"/>
    <n v="9480"/>
    <n v="1.6572027392586454E-3"/>
    <n v="31759.541999999998"/>
    <x v="2"/>
  </r>
  <r>
    <d v="2025-03-10T00:00:00"/>
    <x v="0"/>
    <x v="90"/>
    <n v="190"/>
    <n v="340842"/>
    <n v="9.39"/>
    <n v="21539"/>
    <n v="2.6639909400836752E-3"/>
    <n v="32005.063800000004"/>
    <x v="2"/>
  </r>
  <r>
    <d v="2024-12-23T00:00:00"/>
    <x v="1"/>
    <x v="91"/>
    <n v="408"/>
    <n v="280795"/>
    <n v="8.44"/>
    <n v="4683"/>
    <n v="2.4359408109118751E-3"/>
    <n v="23699.097999999998"/>
    <x v="3"/>
  </r>
  <r>
    <d v="2024-08-19T00:00:00"/>
    <x v="0"/>
    <x v="92"/>
    <n v="20"/>
    <n v="183924"/>
    <n v="8.84"/>
    <n v="14203"/>
    <n v="5.7523759813836147E-3"/>
    <n v="16258.881599999999"/>
    <x v="1"/>
  </r>
  <r>
    <d v="2025-03-17T00:00:00"/>
    <x v="3"/>
    <x v="93"/>
    <n v="216"/>
    <n v="12447"/>
    <n v="1.8"/>
    <n v="14068"/>
    <n v="6.9173294769824048E-2"/>
    <n v="224.04600000000002"/>
    <x v="2"/>
  </r>
  <r>
    <d v="2024-11-11T00:00:00"/>
    <x v="1"/>
    <x v="94"/>
    <n v="173"/>
    <n v="51395"/>
    <n v="4.66"/>
    <n v="47812"/>
    <n v="1.7550345364335054E-2"/>
    <n v="2395.0070000000001"/>
    <x v="3"/>
  </r>
  <r>
    <d v="2025-02-24T00:00:00"/>
    <x v="2"/>
    <x v="95"/>
    <n v="47"/>
    <n v="464239"/>
    <n v="6.58"/>
    <n v="39031"/>
    <n v="2.1885278918832756E-3"/>
    <n v="30546.926199999998"/>
    <x v="0"/>
  </r>
  <r>
    <d v="2024-06-17T00:00:00"/>
    <x v="1"/>
    <x v="96"/>
    <n v="155"/>
    <n v="456946"/>
    <n v="2.46"/>
    <n v="11329"/>
    <n v="1.9542790614208243E-3"/>
    <n v="11240.8716"/>
    <x v="1"/>
  </r>
  <r>
    <d v="2025-01-20T00:00:00"/>
    <x v="3"/>
    <x v="97"/>
    <n v="149"/>
    <n v="124404"/>
    <n v="5.23"/>
    <n v="45380"/>
    <n v="7.1621491270377159E-3"/>
    <n v="6506.329200000001"/>
    <x v="0"/>
  </r>
  <r>
    <d v="2025-05-05T00:00:00"/>
    <x v="2"/>
    <x v="98"/>
    <n v="171"/>
    <n v="148477"/>
    <n v="5.21"/>
    <n v="7541"/>
    <n v="5.8190830903102836E-3"/>
    <n v="7735.6517000000003"/>
    <x v="2"/>
  </r>
  <r>
    <d v="2025-03-31T00:00:00"/>
    <x v="1"/>
    <x v="99"/>
    <n v="392"/>
    <n v="282780"/>
    <n v="6.27"/>
    <n v="23140"/>
    <n v="2.2667798288422093E-3"/>
    <n v="17730.305999999997"/>
    <x v="2"/>
  </r>
  <r>
    <d v="2025-01-06T00:00:00"/>
    <x v="1"/>
    <x v="100"/>
    <n v="110"/>
    <n v="466382"/>
    <n v="5.3"/>
    <n v="37132"/>
    <n v="1.9361810704529763E-3"/>
    <n v="24718.245999999999"/>
    <x v="0"/>
  </r>
  <r>
    <d v="2024-12-16T00:00:00"/>
    <x v="2"/>
    <x v="101"/>
    <n v="128"/>
    <n v="488901"/>
    <n v="8.09"/>
    <n v="49558"/>
    <n v="1.7917737946946315E-3"/>
    <n v="39552.090900000003"/>
    <x v="3"/>
  </r>
  <r>
    <d v="2025-03-31T00:00:00"/>
    <x v="0"/>
    <x v="102"/>
    <n v="474"/>
    <n v="370070"/>
    <n v="9.4600000000000009"/>
    <n v="23461"/>
    <n v="1.3889264193260734E-3"/>
    <n v="35008.622000000003"/>
    <x v="2"/>
  </r>
  <r>
    <d v="2024-07-08T00:00:00"/>
    <x v="3"/>
    <x v="103"/>
    <n v="440"/>
    <n v="389810"/>
    <n v="4.66"/>
    <n v="2932"/>
    <n v="1.40324773607655E-3"/>
    <n v="18165.146000000001"/>
    <x v="1"/>
  </r>
  <r>
    <d v="2025-04-21T00:00:00"/>
    <x v="1"/>
    <x v="104"/>
    <n v="358"/>
    <n v="62942"/>
    <n v="6.8"/>
    <n v="18693"/>
    <n v="9.5802484827301332E-3"/>
    <n v="4280.0560000000005"/>
    <x v="2"/>
  </r>
  <r>
    <d v="2024-11-04T00:00:00"/>
    <x v="0"/>
    <x v="105"/>
    <n v="407"/>
    <n v="319186"/>
    <n v="3.32"/>
    <n v="4996"/>
    <n v="1.6918035252172713E-3"/>
    <n v="10596.975200000001"/>
    <x v="3"/>
  </r>
  <r>
    <d v="2025-03-03T00:00:00"/>
    <x v="3"/>
    <x v="106"/>
    <n v="47"/>
    <n v="466575"/>
    <n v="8.33"/>
    <n v="10002"/>
    <n v="1.9268070513850934E-3"/>
    <n v="38865.697500000002"/>
    <x v="2"/>
  </r>
  <r>
    <d v="2025-02-03T00:00:00"/>
    <x v="3"/>
    <x v="107"/>
    <n v="358"/>
    <n v="177554"/>
    <n v="6.95"/>
    <n v="48270"/>
    <n v="3.2046588643454949E-3"/>
    <n v="12340.003000000001"/>
    <x v="0"/>
  </r>
  <r>
    <d v="2024-06-24T00:00:00"/>
    <x v="1"/>
    <x v="108"/>
    <n v="282"/>
    <n v="35664"/>
    <n v="6.92"/>
    <n v="18050"/>
    <n v="1.7636832660385824E-2"/>
    <n v="2467.9488000000001"/>
    <x v="1"/>
  </r>
  <r>
    <d v="2025-01-06T00:00:00"/>
    <x v="2"/>
    <x v="109"/>
    <n v="45"/>
    <n v="95410"/>
    <n v="8.33"/>
    <n v="15045"/>
    <n v="8.8669950738916262E-3"/>
    <n v="7947.6530000000002"/>
    <x v="0"/>
  </r>
  <r>
    <d v="2024-07-08T00:00:00"/>
    <x v="2"/>
    <x v="110"/>
    <n v="369"/>
    <n v="233694"/>
    <n v="2.88"/>
    <n v="15071"/>
    <n v="2.1994574101175039E-3"/>
    <n v="6730.3872000000001"/>
    <x v="1"/>
  </r>
  <r>
    <d v="2025-02-24T00:00:00"/>
    <x v="3"/>
    <x v="111"/>
    <n v="153"/>
    <n v="317007"/>
    <n v="3.85"/>
    <n v="8718"/>
    <n v="2.2333891680625349E-3"/>
    <n v="12204.7695"/>
    <x v="0"/>
  </r>
  <r>
    <d v="2024-10-28T00:00:00"/>
    <x v="0"/>
    <x v="112"/>
    <n v="473"/>
    <n v="209987"/>
    <n v="4.46"/>
    <n v="30214"/>
    <n v="1.8382090319876945E-3"/>
    <n v="9365.4202000000005"/>
    <x v="3"/>
  </r>
  <r>
    <d v="2025-05-12T00:00:00"/>
    <x v="0"/>
    <x v="113"/>
    <n v="430"/>
    <n v="364820"/>
    <n v="4"/>
    <n v="49400"/>
    <n v="1.1156186612576065E-3"/>
    <n v="14592.800000000001"/>
    <x v="2"/>
  </r>
  <r>
    <d v="2025-04-28T00:00:00"/>
    <x v="0"/>
    <x v="114"/>
    <n v="380"/>
    <n v="224830"/>
    <n v="3.86"/>
    <n v="3582"/>
    <n v="2.014855668727483E-3"/>
    <n v="8678.4379999999983"/>
    <x v="2"/>
  </r>
  <r>
    <d v="2024-08-05T00:00:00"/>
    <x v="3"/>
    <x v="115"/>
    <n v="498"/>
    <n v="449994"/>
    <n v="9.43"/>
    <n v="12384"/>
    <n v="7.2889860753698943E-4"/>
    <n v="42434.434199999996"/>
    <x v="1"/>
  </r>
  <r>
    <d v="2024-09-23T00:00:00"/>
    <x v="1"/>
    <x v="116"/>
    <n v="151"/>
    <n v="422625"/>
    <n v="2.36"/>
    <n v="1083"/>
    <n v="1.5758651286601596E-3"/>
    <n v="9973.9499999999989"/>
    <x v="1"/>
  </r>
  <r>
    <d v="2025-01-06T00:00:00"/>
    <x v="0"/>
    <x v="117"/>
    <n v="196"/>
    <n v="95728"/>
    <n v="8.1999999999999993"/>
    <n v="17951"/>
    <n v="6.4766839378238338E-3"/>
    <n v="7849.695999999999"/>
    <x v="0"/>
  </r>
  <r>
    <d v="2024-07-22T00:00:00"/>
    <x v="2"/>
    <x v="118"/>
    <n v="487"/>
    <n v="306564"/>
    <n v="5.52"/>
    <n v="26452"/>
    <n v="1.0340418313957282E-3"/>
    <n v="16922.3328"/>
    <x v="1"/>
  </r>
  <r>
    <d v="2024-09-16T00:00:00"/>
    <x v="1"/>
    <x v="119"/>
    <n v="401"/>
    <n v="50793"/>
    <n v="3.4"/>
    <n v="21939"/>
    <n v="7.4222825979957871E-3"/>
    <n v="1726.9620000000002"/>
    <x v="1"/>
  </r>
  <r>
    <d v="2025-04-28T00:00:00"/>
    <x v="2"/>
    <x v="120"/>
    <n v="140"/>
    <n v="11435"/>
    <n v="1.6"/>
    <n v="6832"/>
    <n v="5.5706165282028861E-2"/>
    <n v="182.96"/>
    <x v="2"/>
  </r>
  <r>
    <d v="2024-09-30T00:00:00"/>
    <x v="3"/>
    <x v="121"/>
    <n v="153"/>
    <n v="64906"/>
    <n v="2.09"/>
    <n v="12148"/>
    <n v="9.2287307798970819E-3"/>
    <n v="1356.5354"/>
    <x v="1"/>
  </r>
  <r>
    <d v="2024-09-09T00:00:00"/>
    <x v="3"/>
    <x v="122"/>
    <n v="491"/>
    <n v="434047"/>
    <n v="9.24"/>
    <n v="15476"/>
    <n v="5.990134708914012E-4"/>
    <n v="40105.942799999997"/>
    <x v="1"/>
  </r>
  <r>
    <d v="2024-12-09T00:00:00"/>
    <x v="2"/>
    <x v="123"/>
    <n v="163"/>
    <n v="451894"/>
    <n v="5.43"/>
    <n v="46625"/>
    <n v="1.2679964770499277E-3"/>
    <n v="24537.844199999996"/>
    <x v="3"/>
  </r>
  <r>
    <d v="2024-09-02T00:00:00"/>
    <x v="2"/>
    <x v="124"/>
    <n v="395"/>
    <n v="370971"/>
    <n v="3.86"/>
    <n v="12646"/>
    <n v="8.9764429025449434E-4"/>
    <n v="14319.480599999999"/>
    <x v="1"/>
  </r>
  <r>
    <d v="2024-07-15T00:00:00"/>
    <x v="3"/>
    <x v="125"/>
    <n v="275"/>
    <n v="226002"/>
    <n v="8.56"/>
    <n v="32393"/>
    <n v="1.8982132901478749E-3"/>
    <n v="19345.771200000003"/>
    <x v="1"/>
  </r>
  <r>
    <d v="2024-10-21T00:00:00"/>
    <x v="1"/>
    <x v="126"/>
    <n v="441"/>
    <n v="357089"/>
    <n v="6.5"/>
    <n v="32478"/>
    <n v="7.3371064356504961E-4"/>
    <n v="23210.785"/>
    <x v="3"/>
  </r>
  <r>
    <d v="2024-10-21T00:00:00"/>
    <x v="3"/>
    <x v="127"/>
    <n v="61"/>
    <n v="258287"/>
    <n v="8.25"/>
    <n v="21208"/>
    <n v="2.4623771231227277E-3"/>
    <n v="21308.677500000002"/>
    <x v="3"/>
  </r>
  <r>
    <d v="2025-01-20T00:00:00"/>
    <x v="0"/>
    <x v="128"/>
    <n v="236"/>
    <n v="479490"/>
    <n v="4.51"/>
    <n v="23853"/>
    <n v="8.9052952094934197E-4"/>
    <n v="21624.999"/>
    <x v="0"/>
  </r>
  <r>
    <d v="2024-06-10T00:00:00"/>
    <x v="1"/>
    <x v="129"/>
    <n v="139"/>
    <n v="49157"/>
    <n v="9.0500000000000007"/>
    <n v="9920"/>
    <n v="1.0517322049758936E-2"/>
    <n v="4448.7085000000006"/>
    <x v="4"/>
  </r>
  <r>
    <d v="2024-07-29T00:00:00"/>
    <x v="1"/>
    <x v="130"/>
    <n v="112"/>
    <n v="23664"/>
    <n v="4.05"/>
    <n v="15353"/>
    <n v="2.2861730899256253E-2"/>
    <n v="958.39200000000005"/>
    <x v="1"/>
  </r>
  <r>
    <d v="2025-01-13T00:00:00"/>
    <x v="0"/>
    <x v="131"/>
    <n v="353"/>
    <n v="224699"/>
    <n v="5.61"/>
    <n v="45708"/>
    <n v="1.3262186302564765E-3"/>
    <n v="12605.6139"/>
    <x v="0"/>
  </r>
  <r>
    <d v="2024-08-05T00:00:00"/>
    <x v="1"/>
    <x v="132"/>
    <n v="293"/>
    <n v="437968"/>
    <n v="7.83"/>
    <n v="49303"/>
    <n v="8.0371168669857163E-4"/>
    <n v="34292.894399999997"/>
    <x v="1"/>
  </r>
  <r>
    <d v="2024-10-14T00:00:00"/>
    <x v="0"/>
    <x v="133"/>
    <n v="358"/>
    <n v="157599"/>
    <n v="3.88"/>
    <n v="7285"/>
    <n v="1.8083871090552605E-3"/>
    <n v="6114.8411999999998"/>
    <x v="3"/>
  </r>
  <r>
    <d v="2024-10-28T00:00:00"/>
    <x v="1"/>
    <x v="134"/>
    <n v="66"/>
    <n v="346522"/>
    <n v="5.85"/>
    <n v="13116"/>
    <n v="1.6622321237901201E-3"/>
    <n v="20271.537"/>
    <x v="3"/>
  </r>
  <r>
    <d v="2024-11-18T00:00:00"/>
    <x v="3"/>
    <x v="135"/>
    <n v="183"/>
    <n v="487523"/>
    <n v="7.32"/>
    <n v="5391"/>
    <n v="9.1277744844858602E-4"/>
    <n v="35686.683600000004"/>
    <x v="3"/>
  </r>
  <r>
    <d v="2025-04-07T00:00:00"/>
    <x v="2"/>
    <x v="136"/>
    <n v="414"/>
    <n v="290354"/>
    <n v="6.49"/>
    <n v="39923"/>
    <n v="7.1981098934404211E-4"/>
    <n v="18843.974600000001"/>
    <x v="2"/>
  </r>
  <r>
    <d v="2025-03-24T00:00:00"/>
    <x v="0"/>
    <x v="137"/>
    <n v="135"/>
    <n v="373606"/>
    <n v="8.52"/>
    <n v="21453"/>
    <n v="1.268716241173857E-3"/>
    <n v="31831.231199999998"/>
    <x v="2"/>
  </r>
  <r>
    <d v="2024-06-03T00:00:00"/>
    <x v="3"/>
    <x v="138"/>
    <n v="169"/>
    <n v="146834"/>
    <n v="8.31"/>
    <n v="26752"/>
    <n v="2.826320879360366E-3"/>
    <n v="12201.905400000001"/>
    <x v="4"/>
  </r>
  <r>
    <d v="2024-07-29T00:00:00"/>
    <x v="2"/>
    <x v="139"/>
    <n v="101"/>
    <n v="62499"/>
    <n v="3.48"/>
    <n v="16804"/>
    <n v="7.600121601945631E-3"/>
    <n v="2174.9651999999996"/>
    <x v="1"/>
  </r>
  <r>
    <d v="2025-04-07T00:00:00"/>
    <x v="1"/>
    <x v="140"/>
    <n v="392"/>
    <n v="78789"/>
    <n v="3.19"/>
    <n v="2436"/>
    <n v="2.1195852212872357E-3"/>
    <n v="2513.3690999999999"/>
    <x v="2"/>
  </r>
  <r>
    <d v="2024-09-02T00:00:00"/>
    <x v="3"/>
    <x v="141"/>
    <n v="360"/>
    <n v="318779"/>
    <n v="8.02"/>
    <n v="25797"/>
    <n v="6.1798299135137512E-4"/>
    <n v="25566.075799999999"/>
    <x v="1"/>
  </r>
  <r>
    <d v="2025-04-14T00:00:00"/>
    <x v="2"/>
    <x v="142"/>
    <n v="375"/>
    <n v="369525"/>
    <n v="6.54"/>
    <n v="20733"/>
    <n v="3.9239564305527366E-4"/>
    <n v="24166.935000000001"/>
    <x v="2"/>
  </r>
  <r>
    <d v="2024-11-18T00:00:00"/>
    <x v="0"/>
    <x v="143"/>
    <n v="441"/>
    <n v="338847"/>
    <n v="2.68"/>
    <n v="39997"/>
    <n v="2.1248528096751631E-4"/>
    <n v="9081.0995999999996"/>
    <x v="3"/>
  </r>
  <r>
    <d v="2025-03-03T00:00:00"/>
    <x v="2"/>
    <x v="144"/>
    <n v="195"/>
    <n v="224534"/>
    <n v="9.4"/>
    <n v="30987"/>
    <n v="1.4029055733207443E-3"/>
    <n v="21106.196"/>
    <x v="2"/>
  </r>
  <r>
    <d v="2024-07-22T00:00:00"/>
    <x v="1"/>
    <x v="145"/>
    <n v="349"/>
    <n v="473812"/>
    <n v="7.88"/>
    <n v="17328"/>
    <n v="3.3557613568250698E-4"/>
    <n v="37336.385599999994"/>
    <x v="1"/>
  </r>
  <r>
    <d v="2024-10-21T00:00:00"/>
    <x v="0"/>
    <x v="145"/>
    <n v="69"/>
    <n v="23492"/>
    <n v="3.16"/>
    <n v="42824"/>
    <n v="1.8687212668142345E-2"/>
    <n v="742.34720000000004"/>
    <x v="3"/>
  </r>
  <r>
    <d v="2024-07-01T00:00:00"/>
    <x v="0"/>
    <x v="146"/>
    <n v="441"/>
    <n v="220020"/>
    <n v="4.4800000000000004"/>
    <n v="42307"/>
    <n v="2.9088264703208797E-4"/>
    <n v="9856.8960000000006"/>
    <x v="1"/>
  </r>
  <r>
    <d v="2025-03-24T00:00:00"/>
    <x v="1"/>
    <x v="147"/>
    <n v="29"/>
    <n v="364810"/>
    <n v="1.53"/>
    <n v="49077"/>
    <n v="1.2636715002329981E-3"/>
    <n v="5581.5930000000008"/>
    <x v="2"/>
  </r>
  <r>
    <d v="2024-08-12T00:00:00"/>
    <x v="3"/>
    <x v="148"/>
    <n v="448"/>
    <n v="434883"/>
    <n v="8.5500000000000007"/>
    <n v="33258"/>
    <n v="8.5080354946042954E-5"/>
    <n v="37182.496500000001"/>
    <x v="1"/>
  </r>
  <r>
    <d v="2024-08-05T00:00:00"/>
    <x v="2"/>
    <x v="149"/>
    <n v="141"/>
    <n v="320650"/>
    <n v="4.04"/>
    <n v="49372"/>
    <n v="9.9485420240137223E-4"/>
    <n v="12954.26"/>
    <x v="1"/>
  </r>
  <r>
    <d v="2024-11-11T00:00:00"/>
    <x v="2"/>
    <x v="150"/>
    <n v="105"/>
    <n v="121091"/>
    <n v="7.97"/>
    <n v="9269"/>
    <n v="2.8821299683708945E-3"/>
    <n v="9650.9526999999998"/>
    <x v="3"/>
  </r>
  <r>
    <d v="2024-12-02T00:00:00"/>
    <x v="2"/>
    <x v="151"/>
    <n v="161"/>
    <n v="221274"/>
    <n v="2.65"/>
    <n v="40888"/>
    <n v="1.3151115811166245E-3"/>
    <n v="5863.7609999999995"/>
    <x v="3"/>
  </r>
  <r>
    <d v="2024-09-16T00:00:00"/>
    <x v="0"/>
    <x v="152"/>
    <n v="345"/>
    <n v="474162"/>
    <n v="9.1999999999999993"/>
    <n v="47462"/>
    <n v="2.0668041724136477E-4"/>
    <n v="43622.904000000002"/>
    <x v="1"/>
  </r>
  <r>
    <d v="2025-03-24T00:00:00"/>
    <x v="2"/>
    <x v="153"/>
    <n v="53"/>
    <n v="441931"/>
    <n v="1.87"/>
    <n v="20059"/>
    <n v="8.8022790888170322E-4"/>
    <n v="8264.1097000000009"/>
    <x v="2"/>
  </r>
  <r>
    <d v="2024-10-07T00:00:00"/>
    <x v="3"/>
    <x v="154"/>
    <n v="330"/>
    <n v="476486"/>
    <n v="4.97"/>
    <n v="4509"/>
    <n v="2.2456063766826309E-4"/>
    <n v="23681.354199999998"/>
    <x v="3"/>
  </r>
  <r>
    <d v="2024-06-10T00:00:00"/>
    <x v="3"/>
    <x v="155"/>
    <n v="250"/>
    <n v="254347"/>
    <n v="4.01"/>
    <n v="8912"/>
    <n v="7.3128442639386348E-4"/>
    <n v="10199.314699999999"/>
    <x v="4"/>
  </r>
  <r>
    <d v="2024-08-26T00:00:00"/>
    <x v="2"/>
    <x v="156"/>
    <n v="394"/>
    <n v="239044"/>
    <n v="7.83"/>
    <n v="32929"/>
    <n v="1.1713324743561855E-4"/>
    <n v="18717.145199999999"/>
    <x v="1"/>
  </r>
  <r>
    <d v="2024-10-14T00:00:00"/>
    <x v="2"/>
    <x v="157"/>
    <n v="47"/>
    <n v="199178"/>
    <n v="1.53"/>
    <n v="6742"/>
    <n v="1.8425729749269497E-3"/>
    <n v="3047.4234000000001"/>
    <x v="3"/>
  </r>
  <r>
    <d v="2025-05-05T00:00:00"/>
    <x v="0"/>
    <x v="158"/>
    <n v="66"/>
    <n v="418696"/>
    <n v="5.59"/>
    <n v="48419"/>
    <n v="8.0965664826031301E-4"/>
    <n v="23405.106400000001"/>
    <x v="2"/>
  </r>
  <r>
    <d v="2024-06-17T00:00:00"/>
    <x v="2"/>
    <x v="159"/>
    <n v="66"/>
    <n v="382851"/>
    <n v="3.49"/>
    <n v="24313"/>
    <n v="8.80238003818718E-4"/>
    <n v="13361.499900000001"/>
    <x v="1"/>
  </r>
  <r>
    <d v="2025-03-10T00:00:00"/>
    <x v="1"/>
    <x v="160"/>
    <n v="181"/>
    <n v="462142"/>
    <n v="7.23"/>
    <n v="6296"/>
    <n v="4.5873346287504706E-4"/>
    <n v="33412.866600000001"/>
    <x v="2"/>
  </r>
  <r>
    <d v="2025-03-24T00:00:00"/>
    <x v="3"/>
    <x v="161"/>
    <n v="72"/>
    <n v="211090"/>
    <n v="5.53"/>
    <n v="21061"/>
    <n v="1.3832962243592781E-3"/>
    <n v="11673.277"/>
    <x v="2"/>
  </r>
  <r>
    <d v="2025-02-17T00:00:00"/>
    <x v="3"/>
    <x v="162"/>
    <n v="399"/>
    <n v="145608"/>
    <n v="7.3"/>
    <n v="37636"/>
    <n v="-2.5410691720235154E-4"/>
    <n v="10629.384"/>
    <x v="0"/>
  </r>
  <r>
    <d v="2025-04-14T00:00:00"/>
    <x v="3"/>
    <x v="163"/>
    <n v="300"/>
    <n v="142507"/>
    <n v="5.3"/>
    <n v="11035"/>
    <n v="3.7191155522184875E-4"/>
    <n v="7552.8710000000001"/>
    <x v="2"/>
  </r>
  <r>
    <d v="2024-07-08T00:00:00"/>
    <x v="0"/>
    <x v="164"/>
    <n v="41"/>
    <n v="251694"/>
    <n v="1.91"/>
    <n v="38610"/>
    <n v="1.2276812319721568E-3"/>
    <n v="4807.3553999999995"/>
    <x v="1"/>
  </r>
  <r>
    <d v="2025-03-03T00:00:00"/>
    <x v="0"/>
    <x v="165"/>
    <n v="464"/>
    <n v="366881"/>
    <n v="4.55"/>
    <n v="20553"/>
    <n v="-3.2435585380545735E-4"/>
    <n v="16693.085500000001"/>
    <x v="2"/>
  </r>
  <r>
    <d v="2025-05-12T00:00:00"/>
    <x v="3"/>
    <x v="166"/>
    <n v="68"/>
    <n v="456298"/>
    <n v="7.57"/>
    <n v="4007"/>
    <n v="5.8952701962314107E-4"/>
    <n v="34541.758600000001"/>
    <x v="2"/>
  </r>
  <r>
    <d v="2024-11-25T00:00:00"/>
    <x v="3"/>
    <x v="167"/>
    <n v="232"/>
    <n v="88455"/>
    <n v="2.69"/>
    <n v="39530"/>
    <n v="1.1079079758069075E-3"/>
    <n v="2379.4395"/>
    <x v="3"/>
  </r>
  <r>
    <d v="2024-06-24T00:00:00"/>
    <x v="2"/>
    <x v="168"/>
    <n v="431"/>
    <n v="426184"/>
    <n v="2.62"/>
    <n v="1783"/>
    <n v="-2.8860773750305035E-4"/>
    <n v="11166.0208"/>
    <x v="1"/>
  </r>
  <r>
    <d v="2024-10-07T00:00:00"/>
    <x v="2"/>
    <x v="169"/>
    <n v="189"/>
    <n v="117767"/>
    <n v="9.3000000000000007"/>
    <n v="27822"/>
    <n v="1.0019784829366461E-3"/>
    <n v="10952.331000000002"/>
    <x v="3"/>
  </r>
  <r>
    <d v="2024-11-18T00:00:00"/>
    <x v="2"/>
    <x v="170"/>
    <n v="218"/>
    <n v="301695"/>
    <n v="4.68"/>
    <n v="22373"/>
    <n v="1.9887634863023914E-4"/>
    <n v="14119.325999999999"/>
    <x v="3"/>
  </r>
  <r>
    <d v="2024-09-30T00:00:00"/>
    <x v="0"/>
    <x v="171"/>
    <n v="429"/>
    <n v="453423"/>
    <n v="1.77"/>
    <n v="2315"/>
    <n v="-3.9477485703195471E-4"/>
    <n v="8025.5871000000006"/>
    <x v="1"/>
  </r>
  <r>
    <d v="2024-08-26T00:00:00"/>
    <x v="0"/>
    <x v="172"/>
    <n v="211"/>
    <n v="379380"/>
    <n v="9.0399999999999991"/>
    <n v="26925"/>
    <n v="9.7527544941747058E-5"/>
    <n v="34295.951999999997"/>
    <x v="1"/>
  </r>
  <r>
    <d v="2024-07-01T00:00:00"/>
    <x v="1"/>
    <x v="173"/>
    <n v="445"/>
    <n v="419447"/>
    <n v="9.36"/>
    <n v="9566"/>
    <n v="-5.2211602419375983E-4"/>
    <n v="39260.239199999996"/>
    <x v="1"/>
  </r>
  <r>
    <d v="2024-07-15T00:00:00"/>
    <x v="2"/>
    <x v="174"/>
    <n v="64"/>
    <n v="156683"/>
    <n v="4.5599999999999996"/>
    <n v="28474"/>
    <n v="1.0211701333265254E-3"/>
    <n v="7144.7447999999995"/>
    <x v="1"/>
  </r>
  <r>
    <d v="2024-08-19T00:00:00"/>
    <x v="2"/>
    <x v="175"/>
    <n v="31"/>
    <n v="87443"/>
    <n v="6.19"/>
    <n v="10283"/>
    <n v="2.1728440241071327E-3"/>
    <n v="5412.7217000000001"/>
    <x v="1"/>
  </r>
  <r>
    <d v="2024-08-19T00:00:00"/>
    <x v="1"/>
    <x v="176"/>
    <n v="139"/>
    <n v="325444"/>
    <n v="3.25"/>
    <n v="35501"/>
    <n v="2.335271198731579E-4"/>
    <n v="10576.93"/>
    <x v="1"/>
  </r>
  <r>
    <d v="2024-08-05T00:00:00"/>
    <x v="0"/>
    <x v="177"/>
    <n v="411"/>
    <n v="125034"/>
    <n v="6.11"/>
    <n v="26455"/>
    <n v="-1.5755714445670778E-3"/>
    <n v="7639.5774000000001"/>
    <x v="1"/>
  </r>
  <r>
    <d v="2024-10-14T00:00:00"/>
    <x v="3"/>
    <x v="178"/>
    <n v="221"/>
    <n v="309772"/>
    <n v="5.9"/>
    <n v="33174"/>
    <n v="-6.456361452939582E-5"/>
    <n v="18276.548000000003"/>
    <x v="3"/>
  </r>
  <r>
    <d v="2024-09-23T00:00:00"/>
    <x v="0"/>
    <x v="179"/>
    <n v="217"/>
    <n v="239753"/>
    <n v="7.36"/>
    <n v="11901"/>
    <n v="-7.9248226299566635E-5"/>
    <n v="17645.820800000001"/>
    <x v="1"/>
  </r>
  <r>
    <d v="2025-04-14T00:00:00"/>
    <x v="1"/>
    <x v="179"/>
    <n v="358"/>
    <n v="66682"/>
    <n v="6.73"/>
    <n v="2293"/>
    <n v="-2.3994481269308059E-3"/>
    <n v="4487.6985999999997"/>
    <x v="2"/>
  </r>
  <r>
    <d v="2025-04-14T00:00:00"/>
    <x v="0"/>
    <x v="179"/>
    <n v="373"/>
    <n v="70707"/>
    <n v="4.83"/>
    <n v="25920"/>
    <n v="-2.4750024750024749E-3"/>
    <n v="3415.1481000000003"/>
    <x v="2"/>
  </r>
  <r>
    <d v="2024-10-28T00:00:00"/>
    <x v="3"/>
    <x v="180"/>
    <n v="154"/>
    <n v="240550"/>
    <n v="5.22"/>
    <n v="15827"/>
    <n v="1.5381417584701726E-4"/>
    <n v="12556.71"/>
    <x v="3"/>
  </r>
  <r>
    <d v="2024-11-18T00:00:00"/>
    <x v="1"/>
    <x v="181"/>
    <n v="236"/>
    <n v="51087"/>
    <n v="9.41"/>
    <n v="29533"/>
    <n v="-9.5914811987394058E-4"/>
    <n v="4807.2867000000006"/>
    <x v="3"/>
  </r>
  <r>
    <d v="2024-11-11T00:00:00"/>
    <x v="0"/>
    <x v="182"/>
    <n v="277"/>
    <n v="309483"/>
    <n v="8.6999999999999993"/>
    <n v="38452"/>
    <n v="-3.4250669665215861E-4"/>
    <n v="26925.020999999997"/>
    <x v="3"/>
  </r>
  <r>
    <d v="2024-07-15T00:00:00"/>
    <x v="0"/>
    <x v="183"/>
    <n v="334"/>
    <n v="334626"/>
    <n v="6.44"/>
    <n v="43420"/>
    <n v="-4.9009939454794306E-4"/>
    <n v="21549.914399999998"/>
    <x v="1"/>
  </r>
  <r>
    <d v="2024-07-29T00:00:00"/>
    <x v="0"/>
    <x v="184"/>
    <n v="478"/>
    <n v="435034"/>
    <n v="7.73"/>
    <n v="4839"/>
    <n v="-7.3097734889686784E-4"/>
    <n v="33628.128200000006"/>
    <x v="1"/>
  </r>
  <r>
    <d v="2025-02-03T00:00:00"/>
    <x v="2"/>
    <x v="185"/>
    <n v="355"/>
    <n v="270766"/>
    <n v="9.48"/>
    <n v="18001"/>
    <n v="-7.4972485467156139E-4"/>
    <n v="25668.616800000003"/>
    <x v="0"/>
  </r>
  <r>
    <d v="2024-07-01T00:00:00"/>
    <x v="2"/>
    <x v="186"/>
    <n v="53"/>
    <n v="113678"/>
    <n v="8.7200000000000006"/>
    <n v="30060"/>
    <n v="8.0050669434719116E-4"/>
    <n v="9912.7216000000008"/>
    <x v="1"/>
  </r>
  <r>
    <d v="2024-09-16T00:00:00"/>
    <x v="2"/>
    <x v="187"/>
    <n v="155"/>
    <n v="119934"/>
    <n v="3.5"/>
    <n v="5442"/>
    <n v="-2.6681341404439108E-4"/>
    <n v="4197.6900000000005"/>
    <x v="1"/>
  </r>
  <r>
    <d v="2025-05-12T00:00:00"/>
    <x v="2"/>
    <x v="188"/>
    <n v="456"/>
    <n v="82558"/>
    <n v="6.81"/>
    <n v="12174"/>
    <n v="-4.0819787301048958E-3"/>
    <n v="5622.1997999999994"/>
    <x v="2"/>
  </r>
  <r>
    <d v="2025-01-13T00:00:00"/>
    <x v="3"/>
    <x v="189"/>
    <n v="262"/>
    <n v="487896"/>
    <n v="2.56"/>
    <n v="12350"/>
    <n v="-2.9514486693885583E-4"/>
    <n v="12490.1376"/>
    <x v="0"/>
  </r>
  <r>
    <d v="2025-01-27T00:00:00"/>
    <x v="1"/>
    <x v="190"/>
    <n v="281"/>
    <n v="357265"/>
    <n v="9.23"/>
    <n v="25525"/>
    <n v="-4.6464109274628077E-4"/>
    <n v="32975.559500000003"/>
    <x v="0"/>
  </r>
  <r>
    <m/>
    <x v="4"/>
    <x v="191"/>
    <m/>
    <m/>
    <m/>
    <m/>
    <m/>
    <m/>
    <x v="5"/>
  </r>
  <r>
    <m/>
    <x v="4"/>
    <x v="191"/>
    <m/>
    <m/>
    <m/>
    <m/>
    <m/>
    <m/>
    <x v="5"/>
  </r>
  <r>
    <m/>
    <x v="4"/>
    <x v="191"/>
    <m/>
    <m/>
    <m/>
    <m/>
    <m/>
    <m/>
    <x v="5"/>
  </r>
  <r>
    <m/>
    <x v="4"/>
    <x v="191"/>
    <m/>
    <m/>
    <m/>
    <m/>
    <m/>
    <m/>
    <x v="5"/>
  </r>
  <r>
    <m/>
    <x v="4"/>
    <x v="191"/>
    <m/>
    <m/>
    <m/>
    <m/>
    <m/>
    <m/>
    <x v="5"/>
  </r>
  <r>
    <m/>
    <x v="4"/>
    <x v="191"/>
    <m/>
    <m/>
    <m/>
    <m/>
    <m/>
    <m/>
    <x v="5"/>
  </r>
  <r>
    <m/>
    <x v="4"/>
    <x v="191"/>
    <m/>
    <m/>
    <m/>
    <m/>
    <m/>
    <m/>
    <x v="5"/>
  </r>
  <r>
    <m/>
    <x v="4"/>
    <x v="191"/>
    <m/>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DFB24-0F29-4C5F-A83D-18FBD4525FA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36" firstHeaderRow="0" firstDataRow="1" firstDataCol="1"/>
  <pivotFields count="15">
    <pivotField showAll="0"/>
    <pivotField axis="axisRow" showAll="0">
      <items count="6">
        <item x="3"/>
        <item x="0"/>
        <item x="1"/>
        <item x="2"/>
        <item x="4"/>
        <item t="default"/>
      </items>
    </pivotField>
    <pivotField showAll="0"/>
    <pivotField axis="axisRow" showAll="0">
      <items count="8">
        <item x="3"/>
        <item x="4"/>
        <item x="1"/>
        <item x="0"/>
        <item x="5"/>
        <item x="2"/>
        <item x="6"/>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s>
  <rowFields count="2">
    <field x="3"/>
    <field x="1"/>
  </rowFields>
  <rowItems count="33">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v="4"/>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13">
    <format dxfId="143">
      <pivotArea type="all" dataOnly="0" outline="0" fieldPosition="0"/>
    </format>
    <format dxfId="142">
      <pivotArea outline="0" collapsedLevelsAreSubtotals="1" fieldPosition="0"/>
    </format>
    <format dxfId="141">
      <pivotArea field="3" type="button" dataOnly="0" labelOnly="1" outline="0" axis="axisRow" fieldPosition="0"/>
    </format>
    <format dxfId="140">
      <pivotArea dataOnly="0" labelOnly="1" fieldPosition="0">
        <references count="1">
          <reference field="3" count="0"/>
        </references>
      </pivotArea>
    </format>
    <format dxfId="139">
      <pivotArea dataOnly="0" labelOnly="1" grandRow="1" outline="0" fieldPosition="0"/>
    </format>
    <format dxfId="138">
      <pivotArea dataOnly="0" labelOnly="1" fieldPosition="0">
        <references count="2">
          <reference field="1" count="4">
            <x v="0"/>
            <x v="1"/>
            <x v="2"/>
            <x v="3"/>
          </reference>
          <reference field="3" count="1" selected="0">
            <x v="0"/>
          </reference>
        </references>
      </pivotArea>
    </format>
    <format dxfId="137">
      <pivotArea dataOnly="0" labelOnly="1" fieldPosition="0">
        <references count="2">
          <reference field="1" count="4">
            <x v="0"/>
            <x v="1"/>
            <x v="2"/>
            <x v="3"/>
          </reference>
          <reference field="3" count="1" selected="0">
            <x v="1"/>
          </reference>
        </references>
      </pivotArea>
    </format>
    <format dxfId="136">
      <pivotArea dataOnly="0" labelOnly="1" fieldPosition="0">
        <references count="2">
          <reference field="1" count="4">
            <x v="0"/>
            <x v="1"/>
            <x v="2"/>
            <x v="3"/>
          </reference>
          <reference field="3" count="1" selected="0">
            <x v="2"/>
          </reference>
        </references>
      </pivotArea>
    </format>
    <format dxfId="135">
      <pivotArea dataOnly="0" labelOnly="1" fieldPosition="0">
        <references count="2">
          <reference field="1" count="4">
            <x v="0"/>
            <x v="1"/>
            <x v="2"/>
            <x v="3"/>
          </reference>
          <reference field="3" count="1" selected="0">
            <x v="3"/>
          </reference>
        </references>
      </pivotArea>
    </format>
    <format dxfId="134">
      <pivotArea dataOnly="0" labelOnly="1" fieldPosition="0">
        <references count="2">
          <reference field="1" count="4">
            <x v="0"/>
            <x v="1"/>
            <x v="2"/>
            <x v="3"/>
          </reference>
          <reference field="3" count="1" selected="0">
            <x v="4"/>
          </reference>
        </references>
      </pivotArea>
    </format>
    <format dxfId="133">
      <pivotArea dataOnly="0" labelOnly="1" fieldPosition="0">
        <references count="2">
          <reference field="1" count="4">
            <x v="0"/>
            <x v="1"/>
            <x v="2"/>
            <x v="3"/>
          </reference>
          <reference field="3" count="1" selected="0">
            <x v="5"/>
          </reference>
        </references>
      </pivotArea>
    </format>
    <format dxfId="132">
      <pivotArea dataOnly="0" labelOnly="1" fieldPosition="0">
        <references count="2">
          <reference field="1" count="1">
            <x v="4"/>
          </reference>
          <reference field="3" count="1" selected="0">
            <x v="6"/>
          </reference>
        </references>
      </pivotArea>
    </format>
    <format dxfId="13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CA4EB-D568-452A-BBDA-DEE004749C3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4:C13"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9">
        <item x="1"/>
        <item x="3"/>
        <item x="4"/>
        <item x="0"/>
        <item x="5"/>
        <item x="2"/>
        <item x="6"/>
        <item x="7"/>
        <item t="default"/>
      </items>
    </pivotField>
  </pivotFields>
  <rowFields count="1">
    <field x="14"/>
  </rowFields>
  <rowItems count="9">
    <i>
      <x/>
    </i>
    <i>
      <x v="1"/>
    </i>
    <i>
      <x v="2"/>
    </i>
    <i>
      <x v="3"/>
    </i>
    <i>
      <x v="4"/>
    </i>
    <i>
      <x v="5"/>
    </i>
    <i>
      <x v="6"/>
    </i>
    <i>
      <x v="7"/>
    </i>
    <i t="grand">
      <x/>
    </i>
  </rowItems>
  <colItems count="1">
    <i/>
  </colItems>
  <dataFields count="1">
    <dataField name="Average of Clicks" fld="11" subtotal="average" baseField="14" baseItem="0"/>
  </dataFields>
  <formats count="18">
    <format dxfId="130">
      <pivotArea type="all" dataOnly="0" outline="0" fieldPosition="0"/>
    </format>
    <format dxfId="129">
      <pivotArea outline="0" collapsedLevelsAreSubtotals="1" fieldPosition="0"/>
    </format>
    <format dxfId="128">
      <pivotArea field="14" type="button" dataOnly="0" labelOnly="1" outline="0" axis="axisRow" fieldPosition="0"/>
    </format>
    <format dxfId="127">
      <pivotArea dataOnly="0" labelOnly="1" fieldPosition="0">
        <references count="1">
          <reference field="14"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14" type="button" dataOnly="0" labelOnly="1" outline="0" axis="axisRow" fieldPosition="0"/>
    </format>
    <format dxfId="121">
      <pivotArea dataOnly="0" labelOnly="1" fieldPosition="0">
        <references count="1">
          <reference field="14" count="0"/>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14" type="button" dataOnly="0" labelOnly="1" outline="0" axis="axisRow" fieldPosition="0"/>
    </format>
    <format dxfId="115">
      <pivotArea dataOnly="0" labelOnly="1" fieldPosition="0">
        <references count="1">
          <reference field="14" count="0"/>
        </references>
      </pivotArea>
    </format>
    <format dxfId="114">
      <pivotArea dataOnly="0" labelOnly="1" grandRow="1" outline="0" fieldPosition="0"/>
    </format>
    <format dxfId="113">
      <pivotArea dataOnly="0" labelOnly="1" outline="0" axis="axisValues" fieldPosition="0"/>
    </format>
  </format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 chart="2" format="7">
      <pivotArea type="data" outline="0" fieldPosition="0">
        <references count="2">
          <reference field="4294967294" count="1" selected="0">
            <x v="0"/>
          </reference>
          <reference field="14" count="1" selected="0">
            <x v="6"/>
          </reference>
        </references>
      </pivotArea>
    </chartFormat>
    <chartFormat chart="2" format="8">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33F6A-64C8-4BB4-AB38-D202A973F67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2" firstHeaderRow="1" firstDataRow="1" firstDataCol="1"/>
  <pivotFields count="15">
    <pivotField showAll="0"/>
    <pivotField showAll="0"/>
    <pivotField showAll="0"/>
    <pivotField showAll="0"/>
    <pivotField showAll="0">
      <items count="26">
        <item x="21"/>
        <item x="12"/>
        <item x="4"/>
        <item x="6"/>
        <item x="11"/>
        <item x="9"/>
        <item x="5"/>
        <item x="7"/>
        <item x="22"/>
        <item x="1"/>
        <item x="10"/>
        <item x="19"/>
        <item x="14"/>
        <item x="0"/>
        <item x="2"/>
        <item x="23"/>
        <item x="16"/>
        <item x="13"/>
        <item x="18"/>
        <item x="17"/>
        <item x="8"/>
        <item x="3"/>
        <item x="20"/>
        <item x="15"/>
        <item x="24"/>
        <item t="default"/>
      </items>
    </pivotField>
    <pivotField showAll="0"/>
    <pivotField showAll="0"/>
    <pivotField showAll="0"/>
    <pivotField showAll="0"/>
    <pivotField dataField="1" showAll="0"/>
    <pivotField showAll="0"/>
    <pivotField showAll="0"/>
    <pivotField showAll="0"/>
    <pivotField showAll="0"/>
    <pivotField axis="axisRow" showAll="0" sortType="descending">
      <items count="9">
        <item x="1"/>
        <item x="3"/>
        <item x="4"/>
        <item x="0"/>
        <item x="5"/>
        <item x="2"/>
        <item x="6"/>
        <item x="7"/>
        <item t="default"/>
      </items>
      <autoSortScope>
        <pivotArea dataOnly="0" outline="0" fieldPosition="0">
          <references count="1">
            <reference field="4294967294" count="1" selected="0">
              <x v="0"/>
            </reference>
          </references>
        </pivotArea>
      </autoSortScope>
    </pivotField>
  </pivotFields>
  <rowFields count="1">
    <field x="14"/>
  </rowFields>
  <rowItems count="9">
    <i>
      <x v="1"/>
    </i>
    <i>
      <x/>
    </i>
    <i>
      <x v="5"/>
    </i>
    <i>
      <x v="3"/>
    </i>
    <i>
      <x v="2"/>
    </i>
    <i>
      <x v="4"/>
    </i>
    <i>
      <x v="7"/>
    </i>
    <i>
      <x v="6"/>
    </i>
    <i t="grand">
      <x/>
    </i>
  </rowItems>
  <colItems count="1">
    <i/>
  </colItems>
  <dataFields count="1">
    <dataField name="Average of Engagement Rate" fld="9" subtotal="average" baseField="14" baseItem="0" numFmtId="168"/>
  </dataFields>
  <formats count="19">
    <format dxfId="111">
      <pivotArea outline="0" collapsedLevelsAreSubtotals="1" fieldPosition="0">
        <references count="1">
          <reference field="4294967294" count="1" selected="0">
            <x v="0"/>
          </reference>
        </references>
      </pivotArea>
    </format>
    <format dxfId="110">
      <pivotArea type="all" dataOnly="0" outline="0" fieldPosition="0"/>
    </format>
    <format dxfId="109">
      <pivotArea outline="0" collapsedLevelsAreSubtotals="1" fieldPosition="0"/>
    </format>
    <format dxfId="108">
      <pivotArea field="14" type="button" dataOnly="0" labelOnly="1" outline="0" axis="axisRow" fieldPosition="0"/>
    </format>
    <format dxfId="107">
      <pivotArea dataOnly="0" labelOnly="1" fieldPosition="0">
        <references count="1">
          <reference field="14" count="0"/>
        </references>
      </pivotArea>
    </format>
    <format dxfId="106">
      <pivotArea dataOnly="0" labelOnly="1" grandRow="1" outline="0" fieldPosition="0"/>
    </format>
    <format dxfId="105">
      <pivotArea dataOnly="0" labelOnly="1" outline="0" axis="axisValues" fieldPosition="0"/>
    </format>
    <format dxfId="104">
      <pivotArea dataOnly="0" labelOnly="1" fieldPosition="0">
        <references count="1">
          <reference field="14" count="1">
            <x v="1"/>
          </reference>
        </references>
      </pivotArea>
    </format>
    <format dxfId="103">
      <pivotArea collapsedLevelsAreSubtotals="1" fieldPosition="0">
        <references count="1">
          <reference field="14" count="1">
            <x v="1"/>
          </reference>
        </references>
      </pivotArea>
    </format>
    <format dxfId="102">
      <pivotArea dataOnly="0" labelOnly="1" fieldPosition="0">
        <references count="1">
          <reference field="14" count="1">
            <x v="0"/>
          </reference>
        </references>
      </pivotArea>
    </format>
    <format dxfId="101">
      <pivotArea collapsedLevelsAreSubtotals="1" fieldPosition="0">
        <references count="1">
          <reference field="14" count="1">
            <x v="0"/>
          </reference>
        </references>
      </pivotArea>
    </format>
    <format dxfId="100">
      <pivotArea dataOnly="0" labelOnly="1" fieldPosition="0">
        <references count="1">
          <reference field="14" count="1">
            <x v="5"/>
          </reference>
        </references>
      </pivotArea>
    </format>
    <format dxfId="99">
      <pivotArea collapsedLevelsAreSubtotals="1" fieldPosition="0">
        <references count="1">
          <reference field="14" count="1">
            <x v="5"/>
          </reference>
        </references>
      </pivotArea>
    </format>
    <format dxfId="98">
      <pivotArea type="all" dataOnly="0" outline="0" fieldPosition="0"/>
    </format>
    <format dxfId="97">
      <pivotArea outline="0" collapsedLevelsAreSubtotals="1" fieldPosition="0"/>
    </format>
    <format dxfId="96">
      <pivotArea field="14" type="button" dataOnly="0" labelOnly="1" outline="0" axis="axisRow" fieldPosition="0"/>
    </format>
    <format dxfId="95">
      <pivotArea dataOnly="0" labelOnly="1" fieldPosition="0">
        <references count="1">
          <reference field="14" count="0"/>
        </references>
      </pivotArea>
    </format>
    <format dxfId="94">
      <pivotArea dataOnly="0" labelOnly="1" grandRow="1" outline="0"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63EFAE-A341-41B2-945E-6E8BC3A6F2AA}"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16">
    <pivotField showAll="0"/>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3"/>
    </i>
    <i>
      <x v="1"/>
    </i>
    <i>
      <x v="2"/>
    </i>
    <i>
      <x v="4"/>
    </i>
    <i t="grand">
      <x/>
    </i>
  </rowItems>
  <colItems count="1">
    <i/>
  </colItems>
  <dataFields count="1">
    <dataField name="Average of Engagement" fld="15" subtotal="average" baseField="1" baseItem="0"/>
  </dataFields>
  <formats count="12">
    <format dxfId="92">
      <pivotArea dataOnly="0" labelOnly="1" fieldPosition="0">
        <references count="1">
          <reference field="1" count="1">
            <x v="0"/>
          </reference>
        </references>
      </pivotArea>
    </format>
    <format dxfId="91">
      <pivotArea collapsedLevelsAreSubtotals="1" fieldPosition="0">
        <references count="1">
          <reference field="1" count="1">
            <x v="0"/>
          </reference>
        </references>
      </pivotArea>
    </format>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collapsedLevelsAreSubtotals="1" fieldPosition="0">
        <references count="1">
          <reference field="1" count="1">
            <x v="0"/>
          </reference>
        </references>
      </pivotArea>
    </format>
    <format dxfId="83">
      <pivotArea dataOnly="0" labelOnly="1" fieldPosition="0">
        <references count="1">
          <reference field="1" count="1">
            <x v="0"/>
          </reference>
        </references>
      </pivotArea>
    </format>
    <format dxfId="82">
      <pivotArea collapsedLevelsAreSubtotals="1" fieldPosition="0">
        <references count="1">
          <reference field="1" count="1">
            <x v="0"/>
          </reference>
        </references>
      </pivotArea>
    </format>
    <format dxfId="81">
      <pivotArea collapsedLevelsAreSubtotals="1"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70E4E-DE71-4505-9DC9-9CFDC9438CA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4:B10" firstHeaderRow="1" firstDataRow="1" firstDataCol="1"/>
  <pivotFields count="8">
    <pivotField showAll="0"/>
    <pivotField axis="axisRow" showAll="0">
      <items count="6">
        <item x="1"/>
        <item x="0"/>
        <item x="2"/>
        <item x="3"/>
        <item x="4"/>
        <item t="default"/>
      </items>
    </pivotField>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Average of Growth Rate" fld="7" subtotal="average" baseField="1" baseItem="0" numFmtId="168"/>
  </dataFields>
  <formats count="15">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dataOnly="0" labelOnly="1" outline="0" axis="axisValues"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B1BC26-34D0-43C8-B9DE-3CA64BFC8B43}"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4:C10" firstHeaderRow="0" firstDataRow="1" firstDataCol="1"/>
  <pivotFields count="8">
    <pivotField showAll="0"/>
    <pivotField axis="axisRow" showAll="0">
      <items count="6">
        <item x="1"/>
        <item x="0"/>
        <item x="2"/>
        <item x="3"/>
        <item x="4"/>
        <item t="default"/>
      </items>
    </pivotField>
    <pivotField showAll="0"/>
    <pivotField showAll="0"/>
    <pivotField showAll="0"/>
    <pivotField dataField="1"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Sum of Engagement_Rate" fld="5" baseField="1" baseItem="0"/>
    <dataField name="Average of Ad_Spend" fld="6" subtotal="average" baseField="1" baseItem="0"/>
  </dataFields>
  <formats count="6">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s>
  <chartFormats count="2">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B96A2-8E79-4EE0-9836-4D2A4533A62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9">
        <item x="1"/>
        <item x="3"/>
        <item x="4"/>
        <item x="0"/>
        <item x="5"/>
        <item x="2"/>
        <item h="1" x="6"/>
        <item x="7"/>
        <item t="default"/>
      </items>
      <autoSortScope>
        <pivotArea dataOnly="0" outline="0" fieldPosition="0">
          <references count="1">
            <reference field="4294967294" count="1" selected="0">
              <x v="0"/>
            </reference>
          </references>
        </pivotArea>
      </autoSortScope>
    </pivotField>
  </pivotFields>
  <rowFields count="1">
    <field x="14"/>
  </rowFields>
  <rowItems count="8">
    <i>
      <x v="5"/>
    </i>
    <i>
      <x v="3"/>
    </i>
    <i>
      <x v="2"/>
    </i>
    <i>
      <x/>
    </i>
    <i>
      <x v="1"/>
    </i>
    <i>
      <x v="4"/>
    </i>
    <i>
      <x v="7"/>
    </i>
    <i t="grand">
      <x/>
    </i>
  </rowItems>
  <colItems count="1">
    <i/>
  </colItems>
  <dataFields count="1">
    <dataField name="Count of Individual Hashtags" fld="14" subtotal="count" baseField="0" baseItem="0"/>
  </dataFields>
  <formats count="10">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fieldPosition="0">
        <references count="1">
          <reference field="14" count="0"/>
        </references>
      </pivotArea>
    </format>
    <format dxfId="55">
      <pivotArea dataOnly="0" labelOnly="1" grandRow="1" outline="0" fieldPosition="0"/>
    </format>
    <format dxfId="54">
      <pivotArea dataOnly="0" labelOnly="1" outline="0" axis="axisValues" fieldPosition="0"/>
    </format>
    <format dxfId="53">
      <pivotArea collapsedLevelsAreSubtotals="1" fieldPosition="0">
        <references count="1">
          <reference field="14" count="3">
            <x v="2"/>
            <x v="3"/>
            <x v="5"/>
          </reference>
        </references>
      </pivotArea>
    </format>
    <format dxfId="52">
      <pivotArea dataOnly="0" labelOnly="1" fieldPosition="0">
        <references count="1">
          <reference field="14" count="3">
            <x v="2"/>
            <x v="3"/>
            <x v="5"/>
          </reference>
        </references>
      </pivotArea>
    </format>
    <format dxfId="51">
      <pivotArea collapsedLevelsAreSubtotals="1" fieldPosition="0">
        <references count="1">
          <reference field="14" count="3">
            <x v="2"/>
            <x v="3"/>
            <x v="5"/>
          </reference>
        </references>
      </pivotArea>
    </format>
    <format dxfId="50">
      <pivotArea dataOnly="0" labelOnly="1" fieldPosition="0">
        <references count="1">
          <reference field="14" count="3">
            <x v="2"/>
            <x v="3"/>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63416-549E-4BC5-A6BA-2E74E1849B8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0" firstHeaderRow="1" firstDataRow="1" firstDataCol="1"/>
  <pivotFields count="15">
    <pivotField axis="axisRow" showAll="0">
      <items count="302">
        <item x="183"/>
        <item x="233"/>
        <item x="297"/>
        <item x="92"/>
        <item x="268"/>
        <item x="65"/>
        <item x="260"/>
        <item x="157"/>
        <item x="190"/>
        <item x="253"/>
        <item x="140"/>
        <item x="120"/>
        <item x="235"/>
        <item x="93"/>
        <item x="286"/>
        <item x="236"/>
        <item x="175"/>
        <item x="159"/>
        <item x="162"/>
        <item x="275"/>
        <item x="230"/>
        <item x="221"/>
        <item x="231"/>
        <item x="251"/>
        <item x="285"/>
        <item x="186"/>
        <item x="256"/>
        <item x="71"/>
        <item x="45"/>
        <item x="292"/>
        <item x="22"/>
        <item x="59"/>
        <item x="122"/>
        <item x="259"/>
        <item x="137"/>
        <item x="232"/>
        <item x="67"/>
        <item x="123"/>
        <item x="249"/>
        <item x="101"/>
        <item x="63"/>
        <item x="41"/>
        <item x="42"/>
        <item x="169"/>
        <item x="238"/>
        <item x="72"/>
        <item x="78"/>
        <item x="242"/>
        <item x="155"/>
        <item x="110"/>
        <item x="226"/>
        <item x="86"/>
        <item x="11"/>
        <item x="80"/>
        <item x="180"/>
        <item x="118"/>
        <item x="219"/>
        <item x="1"/>
        <item x="178"/>
        <item x="81"/>
        <item x="98"/>
        <item x="5"/>
        <item x="299"/>
        <item x="216"/>
        <item x="135"/>
        <item x="20"/>
        <item x="276"/>
        <item x="57"/>
        <item x="177"/>
        <item x="9"/>
        <item x="134"/>
        <item x="189"/>
        <item x="273"/>
        <item x="113"/>
        <item x="132"/>
        <item x="218"/>
        <item x="49"/>
        <item x="215"/>
        <item x="188"/>
        <item x="227"/>
        <item x="174"/>
        <item x="201"/>
        <item x="82"/>
        <item x="195"/>
        <item x="58"/>
        <item x="269"/>
        <item x="47"/>
        <item x="108"/>
        <item x="73"/>
        <item x="258"/>
        <item x="224"/>
        <item x="107"/>
        <item x="23"/>
        <item x="74"/>
        <item x="264"/>
        <item x="158"/>
        <item x="193"/>
        <item x="146"/>
        <item x="252"/>
        <item x="179"/>
        <item x="241"/>
        <item x="12"/>
        <item x="165"/>
        <item x="104"/>
        <item x="119"/>
        <item x="200"/>
        <item x="281"/>
        <item x="163"/>
        <item x="77"/>
        <item x="130"/>
        <item x="240"/>
        <item x="69"/>
        <item x="144"/>
        <item x="117"/>
        <item x="282"/>
        <item x="75"/>
        <item x="138"/>
        <item x="222"/>
        <item x="17"/>
        <item x="37"/>
        <item x="14"/>
        <item x="220"/>
        <item x="36"/>
        <item x="13"/>
        <item x="99"/>
        <item x="164"/>
        <item x="262"/>
        <item x="125"/>
        <item x="70"/>
        <item x="187"/>
        <item x="115"/>
        <item x="111"/>
        <item x="255"/>
        <item x="257"/>
        <item x="272"/>
        <item x="50"/>
        <item x="46"/>
        <item x="83"/>
        <item x="176"/>
        <item x="87"/>
        <item x="38"/>
        <item x="261"/>
        <item x="7"/>
        <item x="270"/>
        <item x="295"/>
        <item x="44"/>
        <item x="91"/>
        <item x="53"/>
        <item x="229"/>
        <item x="277"/>
        <item x="150"/>
        <item x="55"/>
        <item x="66"/>
        <item x="16"/>
        <item x="142"/>
        <item x="151"/>
        <item x="152"/>
        <item x="145"/>
        <item x="43"/>
        <item x="182"/>
        <item x="141"/>
        <item x="196"/>
        <item x="39"/>
        <item x="89"/>
        <item x="88"/>
        <item x="96"/>
        <item x="168"/>
        <item x="239"/>
        <item x="126"/>
        <item x="263"/>
        <item x="170"/>
        <item x="246"/>
        <item x="95"/>
        <item x="103"/>
        <item x="4"/>
        <item x="298"/>
        <item x="181"/>
        <item x="3"/>
        <item x="237"/>
        <item x="185"/>
        <item x="34"/>
        <item x="160"/>
        <item x="21"/>
        <item x="106"/>
        <item x="173"/>
        <item x="204"/>
        <item x="208"/>
        <item x="203"/>
        <item x="248"/>
        <item x="296"/>
        <item x="166"/>
        <item x="94"/>
        <item x="167"/>
        <item x="205"/>
        <item x="105"/>
        <item x="124"/>
        <item x="271"/>
        <item x="54"/>
        <item x="202"/>
        <item x="280"/>
        <item x="184"/>
        <item x="214"/>
        <item x="293"/>
        <item x="19"/>
        <item x="156"/>
        <item x="153"/>
        <item x="97"/>
        <item x="197"/>
        <item x="212"/>
        <item x="8"/>
        <item x="61"/>
        <item x="129"/>
        <item x="213"/>
        <item x="10"/>
        <item x="250"/>
        <item x="289"/>
        <item x="279"/>
        <item x="60"/>
        <item x="28"/>
        <item x="0"/>
        <item x="84"/>
        <item x="148"/>
        <item x="283"/>
        <item x="15"/>
        <item x="294"/>
        <item x="29"/>
        <item x="147"/>
        <item x="217"/>
        <item x="112"/>
        <item x="228"/>
        <item x="199"/>
        <item x="2"/>
        <item x="245"/>
        <item x="234"/>
        <item x="121"/>
        <item x="116"/>
        <item x="266"/>
        <item x="247"/>
        <item x="31"/>
        <item x="198"/>
        <item x="68"/>
        <item x="62"/>
        <item x="172"/>
        <item x="26"/>
        <item x="131"/>
        <item x="35"/>
        <item x="136"/>
        <item x="25"/>
        <item x="192"/>
        <item x="243"/>
        <item x="139"/>
        <item x="85"/>
        <item x="194"/>
        <item x="114"/>
        <item x="133"/>
        <item x="291"/>
        <item x="223"/>
        <item x="51"/>
        <item x="27"/>
        <item x="191"/>
        <item x="211"/>
        <item x="90"/>
        <item x="24"/>
        <item x="6"/>
        <item x="30"/>
        <item x="161"/>
        <item x="274"/>
        <item x="206"/>
        <item x="40"/>
        <item x="267"/>
        <item x="48"/>
        <item x="100"/>
        <item x="171"/>
        <item x="225"/>
        <item x="76"/>
        <item x="52"/>
        <item x="32"/>
        <item x="149"/>
        <item x="284"/>
        <item x="210"/>
        <item x="278"/>
        <item x="154"/>
        <item x="290"/>
        <item x="143"/>
        <item x="109"/>
        <item x="56"/>
        <item x="18"/>
        <item x="265"/>
        <item x="244"/>
        <item x="207"/>
        <item x="254"/>
        <item x="128"/>
        <item x="127"/>
        <item x="64"/>
        <item x="79"/>
        <item x="287"/>
        <item x="33"/>
        <item x="288"/>
        <item x="102"/>
        <item x="209"/>
        <item x="30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9">
        <item h="1" x="1"/>
        <item h="1" x="3"/>
        <item h="1" x="4"/>
        <item h="1" x="0"/>
        <item h="1" x="5"/>
        <item x="2"/>
        <item h="1" x="6"/>
        <item h="1" x="7"/>
        <item t="default"/>
      </items>
    </pivotField>
  </pivotFields>
  <rowFields count="1">
    <field x="0"/>
  </rowFields>
  <rowItems count="97">
    <i>
      <x v="5"/>
    </i>
    <i>
      <x v="7"/>
    </i>
    <i>
      <x v="8"/>
    </i>
    <i>
      <x v="10"/>
    </i>
    <i>
      <x v="15"/>
    </i>
    <i>
      <x v="21"/>
    </i>
    <i>
      <x v="22"/>
    </i>
    <i>
      <x v="29"/>
    </i>
    <i>
      <x v="30"/>
    </i>
    <i>
      <x v="36"/>
    </i>
    <i>
      <x v="38"/>
    </i>
    <i>
      <x v="41"/>
    </i>
    <i>
      <x v="42"/>
    </i>
    <i>
      <x v="44"/>
    </i>
    <i>
      <x v="48"/>
    </i>
    <i>
      <x v="50"/>
    </i>
    <i>
      <x v="52"/>
    </i>
    <i>
      <x v="53"/>
    </i>
    <i>
      <x v="55"/>
    </i>
    <i>
      <x v="59"/>
    </i>
    <i>
      <x v="62"/>
    </i>
    <i>
      <x v="63"/>
    </i>
    <i>
      <x v="68"/>
    </i>
    <i>
      <x v="69"/>
    </i>
    <i>
      <x v="76"/>
    </i>
    <i>
      <x v="77"/>
    </i>
    <i>
      <x v="80"/>
    </i>
    <i>
      <x v="82"/>
    </i>
    <i>
      <x v="86"/>
    </i>
    <i>
      <x v="90"/>
    </i>
    <i>
      <x v="96"/>
    </i>
    <i>
      <x v="99"/>
    </i>
    <i>
      <x v="101"/>
    </i>
    <i>
      <x v="107"/>
    </i>
    <i>
      <x v="108"/>
    </i>
    <i>
      <x v="110"/>
    </i>
    <i>
      <x v="112"/>
    </i>
    <i>
      <x v="113"/>
    </i>
    <i>
      <x v="119"/>
    </i>
    <i>
      <x v="122"/>
    </i>
    <i>
      <x v="124"/>
    </i>
    <i>
      <x v="127"/>
    </i>
    <i>
      <x v="132"/>
    </i>
    <i>
      <x v="136"/>
    </i>
    <i>
      <x v="137"/>
    </i>
    <i>
      <x v="138"/>
    </i>
    <i>
      <x v="139"/>
    </i>
    <i>
      <x v="142"/>
    </i>
    <i>
      <x v="147"/>
    </i>
    <i>
      <x v="151"/>
    </i>
    <i>
      <x v="157"/>
    </i>
    <i>
      <x v="161"/>
    </i>
    <i>
      <x v="163"/>
    </i>
    <i>
      <x v="169"/>
    </i>
    <i>
      <x v="171"/>
    </i>
    <i>
      <x v="174"/>
    </i>
    <i>
      <x v="178"/>
    </i>
    <i>
      <x v="180"/>
    </i>
    <i>
      <x v="181"/>
    </i>
    <i>
      <x v="182"/>
    </i>
    <i>
      <x v="183"/>
    </i>
    <i>
      <x v="184"/>
    </i>
    <i>
      <x v="187"/>
    </i>
    <i>
      <x v="189"/>
    </i>
    <i>
      <x v="190"/>
    </i>
    <i>
      <x v="200"/>
    </i>
    <i>
      <x v="201"/>
    </i>
    <i>
      <x v="206"/>
    </i>
    <i>
      <x v="209"/>
    </i>
    <i>
      <x v="210"/>
    </i>
    <i>
      <x v="224"/>
    </i>
    <i>
      <x v="231"/>
    </i>
    <i>
      <x v="234"/>
    </i>
    <i>
      <x v="235"/>
    </i>
    <i>
      <x v="240"/>
    </i>
    <i>
      <x v="241"/>
    </i>
    <i>
      <x v="246"/>
    </i>
    <i>
      <x v="247"/>
    </i>
    <i>
      <x v="248"/>
    </i>
    <i>
      <x v="249"/>
    </i>
    <i>
      <x v="252"/>
    </i>
    <i>
      <x v="253"/>
    </i>
    <i>
      <x v="257"/>
    </i>
    <i>
      <x v="259"/>
    </i>
    <i>
      <x v="262"/>
    </i>
    <i>
      <x v="272"/>
    </i>
    <i>
      <x v="274"/>
    </i>
    <i>
      <x v="275"/>
    </i>
    <i>
      <x v="279"/>
    </i>
    <i>
      <x v="287"/>
    </i>
    <i>
      <x v="288"/>
    </i>
    <i>
      <x v="290"/>
    </i>
    <i>
      <x v="292"/>
    </i>
    <i>
      <x v="295"/>
    </i>
    <i>
      <x v="297"/>
    </i>
    <i>
      <x v="300"/>
    </i>
    <i t="grand">
      <x/>
    </i>
  </rowItems>
  <colItems count="1">
    <i/>
  </colItems>
  <dataFields count="1">
    <dataField name="Average of Engagement Rate" fld="9" subtotal="average" baseField="0" baseItem="24" numFmtId="166"/>
  </dataFields>
  <formats count="2">
    <format dxfId="49">
      <pivotArea collapsedLevelsAreSubtotals="1" fieldPosition="0">
        <references count="1">
          <reference field="0" count="1">
            <x v="24"/>
          </reference>
        </references>
      </pivotArea>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AAC877-A13F-4779-93BF-5737EE64E1B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7" firstHeaderRow="0" firstDataRow="1" firstDataCol="1"/>
  <pivotFields count="15">
    <pivotField showAll="0"/>
    <pivotField showAll="0">
      <items count="6">
        <item h="1" x="3"/>
        <item h="1" x="0"/>
        <item h="1" x="1"/>
        <item x="2"/>
        <item h="1" x="4"/>
        <item t="default"/>
      </items>
    </pivotField>
    <pivotField showAll="0"/>
    <pivotField axis="axisRow" showAll="0">
      <items count="8">
        <item x="3"/>
        <item x="4"/>
        <item h="1" x="1"/>
        <item h="1" x="0"/>
        <item h="1" x="5"/>
        <item x="2"/>
        <item h="1" x="6"/>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4">
    <i>
      <x/>
    </i>
    <i>
      <x v="1"/>
    </i>
    <i>
      <x v="5"/>
    </i>
    <i t="grand">
      <x/>
    </i>
  </rowItems>
  <colFields count="1">
    <field x="-2"/>
  </colFields>
  <colItems count="3">
    <i>
      <x/>
    </i>
    <i i="1">
      <x v="1"/>
    </i>
    <i i="2">
      <x v="2"/>
    </i>
  </colItems>
  <dataFields count="3">
    <dataField name="Average of Engagement Rate" fld="9" subtotal="average" baseField="3" baseItem="0" numFmtId="169"/>
    <dataField name="Sum of Reach" fld="10" baseField="0" baseItem="0"/>
    <dataField name="Sum of Clicks" fld="11" baseField="0" baseItem="0"/>
  </dataFields>
  <formats count="13">
    <format dxfId="47">
      <pivotArea outline="0" collapsedLevelsAreSubtotals="1" fieldPosition="0">
        <references count="1">
          <reference field="4294967294" count="1" selected="0">
            <x v="0"/>
          </reference>
        </references>
      </pivotArea>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fieldPosition="0">
        <references count="1">
          <reference field="4294967294" count="3">
            <x v="0"/>
            <x v="1"/>
            <x v="2"/>
          </reference>
        </references>
      </pivotArea>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81FF40-937C-41C2-A3DB-5A40AD3C7C5F}"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E34" firstHeaderRow="0" firstDataRow="1" firstDataCol="2"/>
  <pivotFields count="15">
    <pivotField compact="0" outline="0" showAll="0"/>
    <pivotField axis="axisRow" compact="0" outline="0" showAll="0">
      <items count="6">
        <item x="3"/>
        <item x="0"/>
        <item x="1"/>
        <item x="2"/>
        <item x="4"/>
        <item t="default"/>
      </items>
    </pivotField>
    <pivotField compact="0" outline="0" showAll="0"/>
    <pivotField axis="axisRow" compact="0" outline="0" showAll="0" sortType="descending">
      <items count="8">
        <item x="3"/>
        <item x="4"/>
        <item x="1"/>
        <item x="0"/>
        <item x="5"/>
        <item x="2"/>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s>
  <rowFields count="2">
    <field x="1"/>
    <field x="3"/>
  </rowFields>
  <rowItems count="31">
    <i>
      <x/>
      <x v="3"/>
    </i>
    <i r="1">
      <x v="5"/>
    </i>
    <i r="1">
      <x v="1"/>
    </i>
    <i r="1">
      <x/>
    </i>
    <i r="1">
      <x v="2"/>
    </i>
    <i r="1">
      <x v="4"/>
    </i>
    <i t="default">
      <x/>
    </i>
    <i>
      <x v="1"/>
      <x v="2"/>
    </i>
    <i r="1">
      <x v="3"/>
    </i>
    <i r="1">
      <x v="5"/>
    </i>
    <i r="1">
      <x v="1"/>
    </i>
    <i r="1">
      <x/>
    </i>
    <i r="1">
      <x v="4"/>
    </i>
    <i t="default">
      <x v="1"/>
    </i>
    <i>
      <x v="2"/>
      <x v="3"/>
    </i>
    <i r="1">
      <x/>
    </i>
    <i r="1">
      <x v="1"/>
    </i>
    <i r="1">
      <x v="2"/>
    </i>
    <i r="1">
      <x v="4"/>
    </i>
    <i r="1">
      <x v="5"/>
    </i>
    <i t="default">
      <x v="2"/>
    </i>
    <i>
      <x v="3"/>
      <x/>
    </i>
    <i r="1">
      <x v="1"/>
    </i>
    <i r="1">
      <x v="5"/>
    </i>
    <i r="1">
      <x v="2"/>
    </i>
    <i r="1">
      <x v="4"/>
    </i>
    <i r="1">
      <x v="3"/>
    </i>
    <i t="default">
      <x v="3"/>
    </i>
    <i>
      <x v="4"/>
      <x v="6"/>
    </i>
    <i t="default">
      <x v="4"/>
    </i>
    <i t="grand">
      <x/>
    </i>
  </rowItems>
  <colFields count="1">
    <field x="-2"/>
  </colFields>
  <colItems count="3">
    <i>
      <x/>
    </i>
    <i i="1">
      <x v="1"/>
    </i>
    <i i="2">
      <x v="2"/>
    </i>
  </colItems>
  <dataFields count="3">
    <dataField name="Average of Engagement Rate" fld="9" subtotal="average" baseField="1" baseItem="0" numFmtId="165"/>
    <dataField name="Average of Impressions" fld="8" subtotal="average" baseField="1" baseItem="0" numFmtId="1"/>
    <dataField name="Average of Reach" fld="10" subtotal="average" baseField="1" baseItem="0" numFmtId="1"/>
  </dataFields>
  <formats count="15">
    <format dxfId="34">
      <pivotArea outline="0" collapsedLevelsAreSubtotals="1" fieldPosition="0"/>
    </format>
    <format dxfId="33">
      <pivotArea outline="0" collapsedLevelsAreSubtotals="1" fieldPosition="0">
        <references count="1">
          <reference field="4294967294" count="2" selected="0">
            <x v="1"/>
            <x v="2"/>
          </reference>
        </references>
      </pivotArea>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field="3" type="button" dataOnly="0" labelOnly="1" outline="0" axis="axisRow" fieldPosition="1"/>
    </format>
    <format dxfId="28">
      <pivotArea dataOnly="0" labelOnly="1" outline="0" fieldPosition="0">
        <references count="1">
          <reference field="1" count="0"/>
        </references>
      </pivotArea>
    </format>
    <format dxfId="27">
      <pivotArea dataOnly="0" labelOnly="1" outline="0" fieldPosition="0">
        <references count="1">
          <reference field="1" count="0" defaultSubtotal="1"/>
        </references>
      </pivotArea>
    </format>
    <format dxfId="26">
      <pivotArea dataOnly="0" labelOnly="1" grandRow="1" outline="0" fieldPosition="0"/>
    </format>
    <format dxfId="25">
      <pivotArea dataOnly="0" labelOnly="1" outline="0" fieldPosition="0">
        <references count="2">
          <reference field="1" count="1" selected="0">
            <x v="0"/>
          </reference>
          <reference field="3" count="6">
            <x v="0"/>
            <x v="1"/>
            <x v="2"/>
            <x v="3"/>
            <x v="4"/>
            <x v="5"/>
          </reference>
        </references>
      </pivotArea>
    </format>
    <format dxfId="24">
      <pivotArea dataOnly="0" labelOnly="1" outline="0" fieldPosition="0">
        <references count="2">
          <reference field="1" count="1" selected="0">
            <x v="1"/>
          </reference>
          <reference field="3" count="6">
            <x v="0"/>
            <x v="1"/>
            <x v="2"/>
            <x v="3"/>
            <x v="4"/>
            <x v="5"/>
          </reference>
        </references>
      </pivotArea>
    </format>
    <format dxfId="23">
      <pivotArea dataOnly="0" labelOnly="1" outline="0" fieldPosition="0">
        <references count="2">
          <reference field="1" count="1" selected="0">
            <x v="2"/>
          </reference>
          <reference field="3" count="6">
            <x v="0"/>
            <x v="1"/>
            <x v="2"/>
            <x v="3"/>
            <x v="4"/>
            <x v="5"/>
          </reference>
        </references>
      </pivotArea>
    </format>
    <format dxfId="22">
      <pivotArea dataOnly="0" labelOnly="1" outline="0" fieldPosition="0">
        <references count="2">
          <reference field="1" count="1" selected="0">
            <x v="3"/>
          </reference>
          <reference field="3" count="6">
            <x v="0"/>
            <x v="1"/>
            <x v="2"/>
            <x v="3"/>
            <x v="4"/>
            <x v="5"/>
          </reference>
        </references>
      </pivotArea>
    </format>
    <format dxfId="21">
      <pivotArea dataOnly="0" labelOnly="1" outline="0" fieldPosition="0">
        <references count="2">
          <reference field="1" count="1" selected="0">
            <x v="4"/>
          </reference>
          <reference field="3" count="1">
            <x v="6"/>
          </reference>
        </references>
      </pivotArea>
    </format>
    <format dxfId="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5B2AA6-1B17-4C55-9FCC-4C2A5060122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9" firstHeaderRow="0" firstDataRow="1" firstDataCol="1"/>
  <pivotFields count="15">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axis="axisRow" showAll="0">
      <items count="6">
        <item x="0"/>
        <item x="2"/>
        <item x="1"/>
        <item x="3"/>
        <item x="4"/>
        <item t="default"/>
      </items>
    </pivotField>
    <pivotField showAll="0"/>
  </pivotFields>
  <rowFields count="1">
    <field x="13"/>
  </rowFields>
  <rowItems count="6">
    <i>
      <x/>
    </i>
    <i>
      <x v="1"/>
    </i>
    <i>
      <x v="2"/>
    </i>
    <i>
      <x v="3"/>
    </i>
    <i>
      <x v="4"/>
    </i>
    <i t="grand">
      <x/>
    </i>
  </rowItems>
  <colFields count="1">
    <field x="-2"/>
  </colFields>
  <colItems count="3">
    <i>
      <x/>
    </i>
    <i i="1">
      <x v="1"/>
    </i>
    <i i="2">
      <x v="2"/>
    </i>
  </colItems>
  <dataFields count="3">
    <dataField name="Sum of Impressions" fld="8" baseField="13" baseItem="0"/>
    <dataField name="Sum of Likes" fld="5" baseField="0" baseItem="0"/>
    <dataField name="Sum of Clicks" fld="11" baseField="0" baseItem="0"/>
  </dataFields>
  <formats count="6">
    <format dxfId="13">
      <pivotArea type="all" dataOnly="0" outline="0" fieldPosition="0"/>
    </format>
    <format dxfId="12">
      <pivotArea outline="0" collapsedLevelsAreSubtotals="1" fieldPosition="0"/>
    </format>
    <format dxfId="11">
      <pivotArea field="13" type="button" dataOnly="0" labelOnly="1" outline="0" axis="axisRow" fieldPosition="0"/>
    </format>
    <format dxfId="10">
      <pivotArea dataOnly="0" labelOnly="1" fieldPosition="0">
        <references count="1">
          <reference field="13" count="0"/>
        </references>
      </pivotArea>
    </format>
    <format dxfId="9">
      <pivotArea dataOnly="0" labelOnly="1" grandRow="1" outline="0" fieldPosition="0"/>
    </format>
    <format dxfId="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0876D6-4E66-4FCF-BB77-F63461DCEED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D17" firstHeaderRow="0" firstDataRow="1" firstDataCol="1"/>
  <pivotFields count="15">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axis="axisRow" showAll="0">
      <items count="6">
        <item x="0"/>
        <item x="2"/>
        <item x="1"/>
        <item x="3"/>
        <item x="4"/>
        <item t="default"/>
      </items>
    </pivotField>
    <pivotField showAll="0"/>
  </pivotFields>
  <rowFields count="1">
    <field x="13"/>
  </rowFields>
  <rowItems count="6">
    <i>
      <x/>
    </i>
    <i>
      <x v="1"/>
    </i>
    <i>
      <x v="2"/>
    </i>
    <i>
      <x v="3"/>
    </i>
    <i>
      <x v="4"/>
    </i>
    <i t="grand">
      <x/>
    </i>
  </rowItems>
  <colFields count="1">
    <field x="-2"/>
  </colFields>
  <colItems count="3">
    <i>
      <x/>
    </i>
    <i i="1">
      <x v="1"/>
    </i>
    <i i="2">
      <x v="2"/>
    </i>
  </colItems>
  <dataFields count="3">
    <dataField name="Average of Impressions" fld="8" subtotal="average" baseField="13" baseItem="0"/>
    <dataField name="Average of Likes" fld="5" subtotal="average" baseField="13" baseItem="0"/>
    <dataField name="Average of Clicks" fld="11" subtotal="average" baseField="13" baseItem="0"/>
  </dataFields>
  <formats count="6">
    <format dxfId="19">
      <pivotArea type="all" dataOnly="0" outline="0" fieldPosition="0"/>
    </format>
    <format dxfId="18">
      <pivotArea outline="0" collapsedLevelsAreSubtotals="1" fieldPosition="0"/>
    </format>
    <format dxfId="17">
      <pivotArea field="13" type="button" dataOnly="0" labelOnly="1" outline="0" axis="axisRow" fieldPosition="0"/>
    </format>
    <format dxfId="16">
      <pivotArea dataOnly="0" labelOnly="1" fieldPosition="0">
        <references count="1">
          <reference field="13" count="0"/>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687FC00-BEF9-4AAB-9650-0EB26E30474A}"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9" firstHeaderRow="0" firstDataRow="1" firstDataCol="1"/>
  <pivotFields count="10">
    <pivotField axis="axisRow" showAll="0">
      <items count="6">
        <item x="0"/>
        <item x="2"/>
        <item x="1"/>
        <item x="3"/>
        <item x="4"/>
        <item t="default"/>
      </items>
    </pivotField>
    <pivotField showAll="0"/>
    <pivotField showAll="0"/>
    <pivotField showAll="0"/>
    <pivotField showAll="0"/>
    <pivotField showAll="0"/>
    <pivotField showAll="0"/>
    <pivotField dataField="1" showAll="0"/>
    <pivotField dataField="1" showAll="0"/>
    <pivotField showAll="0"/>
  </pivotFields>
  <rowFields count="1">
    <field x="0"/>
  </rowFields>
  <rowItems count="6">
    <i>
      <x/>
    </i>
    <i>
      <x v="1"/>
    </i>
    <i>
      <x v="2"/>
    </i>
    <i>
      <x v="3"/>
    </i>
    <i>
      <x v="4"/>
    </i>
    <i t="grand">
      <x/>
    </i>
  </rowItems>
  <colFields count="1">
    <field x="-2"/>
  </colFields>
  <colItems count="2">
    <i>
      <x/>
    </i>
    <i i="1">
      <x v="1"/>
    </i>
  </colItems>
  <dataFields count="2">
    <dataField name="Sum of Baseline Avg(Pre-Campaign)" fld="7" baseField="0" baseItem="0"/>
    <dataField name="Sum of Campaign Avg(During)"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D932B7-E9C4-4D17-BDC1-C39E3A89798F}"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9" firstHeaderRow="0" firstDataRow="1" firstDataCol="1" rowPageCount="1" colPageCount="1"/>
  <pivotFields count="13">
    <pivotField axis="axisPage" showAll="0">
      <items count="15">
        <item x="0"/>
        <item x="1"/>
        <item x="2"/>
        <item x="3"/>
        <item x="4"/>
        <item x="5"/>
        <item x="6"/>
        <item x="7"/>
        <item x="8"/>
        <item x="9"/>
        <item x="10"/>
        <item x="11"/>
        <item x="12"/>
        <item x="13"/>
        <item t="default"/>
      </items>
    </pivotField>
    <pivotField axis="axisRow" showAll="0">
      <items count="6">
        <item x="2"/>
        <item x="1"/>
        <item x="0"/>
        <item x="3"/>
        <item x="4"/>
        <item t="default"/>
      </items>
    </pivotField>
    <pivotField showAll="0"/>
    <pivotField showAll="0"/>
    <pivotField showAll="0"/>
    <pivotField showAll="0"/>
    <pivotField dataField="1" showAll="0"/>
    <pivotField showAll="0"/>
    <pivotField dataField="1" showAll="0"/>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pageFields count="1">
    <pageField fld="0" hier="-1"/>
  </pageFields>
  <dataFields count="3">
    <dataField name="Sum of Ad_Spend" fld="6" baseField="0" baseItem="0"/>
    <dataField name="Sum of Engagement Volume" fld="8" baseField="0" baseItem="0"/>
    <dataField name="Sum of ROI" fld="12" baseField="0" baseItem="0"/>
  </dataFields>
  <formats count="2">
    <format dxfId="7">
      <pivotArea collapsedLevelsAreSubtotals="1" fieldPosition="0">
        <references count="1">
          <reference field="1" count="1">
            <x v="2"/>
          </reference>
        </references>
      </pivotArea>
    </format>
    <format dxfId="6">
      <pivotArea dataOnly="0" labelOnly="1" fieldPosition="0">
        <references count="1">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2FAE52-C67D-4316-AE21-4BE0B876B3C5}"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rowPageCount="1" colPageCount="1"/>
  <pivotFields count="10">
    <pivotField showAll="0"/>
    <pivotField axis="axisPage" multipleItemSelectionAllowed="1" showAll="0">
      <items count="6">
        <item x="0"/>
        <item x="1"/>
        <item x="3"/>
        <item x="2"/>
        <item x="4"/>
        <item t="default"/>
      </items>
    </pivotField>
    <pivotField dataField="1" showAll="0"/>
    <pivotField showAll="0"/>
    <pivotField showAll="0"/>
    <pivotField showAll="0"/>
    <pivotField showAll="0"/>
    <pivotField showAll="0"/>
    <pivotField showAll="0"/>
    <pivotField axis="axisRow" showAll="0" sortType="descending">
      <items count="7">
        <item x="1"/>
        <item x="0"/>
        <item x="3"/>
        <item x="4"/>
        <item x="2"/>
        <item x="5"/>
        <item t="default"/>
      </items>
      <autoSortScope>
        <pivotArea dataOnly="0" outline="0" fieldPosition="0">
          <references count="1">
            <reference field="4294967294" count="1" selected="0">
              <x v="0"/>
            </reference>
          </references>
        </pivotArea>
      </autoSortScope>
    </pivotField>
  </pivotFields>
  <rowFields count="1">
    <field x="9"/>
  </rowFields>
  <rowItems count="7">
    <i>
      <x/>
    </i>
    <i>
      <x v="2"/>
    </i>
    <i>
      <x v="1"/>
    </i>
    <i>
      <x v="4"/>
    </i>
    <i>
      <x v="3"/>
    </i>
    <i>
      <x v="5"/>
    </i>
    <i t="grand">
      <x/>
    </i>
  </rowItems>
  <colItems count="1">
    <i/>
  </colItems>
  <pageFields count="1">
    <pageField fld="1" hier="-1"/>
  </pageFields>
  <dataFields count="1">
    <dataField name="Sum of New_Followers" fld="2" baseField="0" baseItem="0"/>
  </dataFields>
  <formats count="4">
    <format dxfId="5">
      <pivotArea collapsedLevelsAreSubtotals="1" fieldPosition="0">
        <references count="1">
          <reference field="9" count="1">
            <x v="0"/>
          </reference>
        </references>
      </pivotArea>
    </format>
    <format dxfId="4">
      <pivotArea dataOnly="0" labelOnly="1" fieldPosition="0">
        <references count="1">
          <reference field="9" count="1">
            <x v="0"/>
          </reference>
        </references>
      </pivotArea>
    </format>
    <format dxfId="3">
      <pivotArea collapsedLevelsAreSubtotals="1" fieldPosition="0">
        <references count="1">
          <reference field="9" count="1">
            <x v="0"/>
          </reference>
        </references>
      </pivotArea>
    </format>
    <format dxfId="2">
      <pivotArea dataOnly="0" labelOnly="1" fieldPosition="0">
        <references count="1">
          <reference field="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4BC93B-80D7-4851-91E8-D4821AC22BB4}"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F6" firstHeaderRow="1" firstDataRow="2" firstDataCol="1"/>
  <pivotFields count="8">
    <pivotField axis="axisRow" showAll="0">
      <items count="52">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axis="axisCol" showAll="0">
      <items count="6">
        <item x="1"/>
        <item x="0"/>
        <item x="2"/>
        <item x="3"/>
        <item x="4"/>
        <item t="default"/>
      </items>
    </pivotField>
    <pivotField dataField="1" showAll="0"/>
    <pivotField showAll="0"/>
    <pivotField showAll="0"/>
    <pivotField showAll="0"/>
    <pivotField showAll="0"/>
    <pivotField showAll="0"/>
  </pivotFields>
  <rowFields count="1">
    <field x="0"/>
  </rowFields>
  <rowItems count="2">
    <i>
      <x v="5"/>
    </i>
    <i t="grand">
      <x/>
    </i>
  </rowItems>
  <colFields count="1">
    <field x="1"/>
  </colFields>
  <colItems count="5">
    <i>
      <x/>
    </i>
    <i>
      <x v="1"/>
    </i>
    <i>
      <x v="2"/>
    </i>
    <i>
      <x v="3"/>
    </i>
    <i t="grand">
      <x/>
    </i>
  </colItems>
  <dataFields count="1">
    <dataField name="Sum of New_Followers" fld="2" baseField="0" baseItem="0"/>
  </dataFields>
  <chartFormats count="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C7F397-93C5-4CAF-9B8B-68C673869899}"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5" firstHeaderRow="1" firstDataRow="1" firstDataCol="1"/>
  <pivotFields count="8">
    <pivotField axis="axisRow" showAll="0" sortType="descending">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0"/>
  </rowFields>
  <rowItems count="52">
    <i>
      <x v="30"/>
    </i>
    <i>
      <x v="36"/>
    </i>
    <i>
      <x v="43"/>
    </i>
    <i>
      <x v="22"/>
    </i>
    <i>
      <x v="28"/>
    </i>
    <i>
      <x v="27"/>
    </i>
    <i>
      <x v="14"/>
    </i>
    <i>
      <x v="26"/>
    </i>
    <i>
      <x v="29"/>
    </i>
    <i>
      <x v="38"/>
    </i>
    <i>
      <x v="46"/>
    </i>
    <i>
      <x v="25"/>
    </i>
    <i>
      <x v="41"/>
    </i>
    <i>
      <x v="37"/>
    </i>
    <i>
      <x v="48"/>
    </i>
    <i>
      <x v="10"/>
    </i>
    <i>
      <x v="33"/>
    </i>
    <i>
      <x v="18"/>
    </i>
    <i>
      <x/>
    </i>
    <i>
      <x v="40"/>
    </i>
    <i>
      <x v="2"/>
    </i>
    <i>
      <x v="47"/>
    </i>
    <i>
      <x v="7"/>
    </i>
    <i>
      <x v="17"/>
    </i>
    <i>
      <x v="31"/>
    </i>
    <i>
      <x v="34"/>
    </i>
    <i>
      <x v="3"/>
    </i>
    <i>
      <x v="13"/>
    </i>
    <i>
      <x v="16"/>
    </i>
    <i>
      <x v="1"/>
    </i>
    <i>
      <x v="5"/>
    </i>
    <i>
      <x v="32"/>
    </i>
    <i>
      <x v="44"/>
    </i>
    <i>
      <x v="35"/>
    </i>
    <i>
      <x v="12"/>
    </i>
    <i>
      <x v="20"/>
    </i>
    <i>
      <x v="21"/>
    </i>
    <i>
      <x v="11"/>
    </i>
    <i>
      <x v="23"/>
    </i>
    <i>
      <x v="39"/>
    </i>
    <i>
      <x v="8"/>
    </i>
    <i>
      <x v="49"/>
    </i>
    <i>
      <x v="6"/>
    </i>
    <i>
      <x v="15"/>
    </i>
    <i>
      <x v="19"/>
    </i>
    <i>
      <x v="4"/>
    </i>
    <i>
      <x v="9"/>
    </i>
    <i>
      <x v="42"/>
    </i>
    <i>
      <x v="24"/>
    </i>
    <i>
      <x v="45"/>
    </i>
    <i>
      <x v="50"/>
    </i>
    <i t="grand">
      <x/>
    </i>
  </rowItems>
  <colItems count="1">
    <i/>
  </colItems>
  <dataFields count="1">
    <dataField name="Sum of New_Followers" fld="2" baseField="0" baseItem="0"/>
  </dataFields>
  <formats count="2">
    <format dxfId="1">
      <pivotArea collapsedLevelsAreSubtotals="1" fieldPosition="0">
        <references count="1">
          <reference field="0" count="1">
            <x v="30"/>
          </reference>
        </references>
      </pivotArea>
    </format>
    <format dxfId="0">
      <pivotArea dataOnly="0" labelOnly="1" fieldPosition="0">
        <references count="1">
          <reference field="0" count="1">
            <x v="3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49FA6F9-8F62-4373-84C5-8D52551A2167}"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13">
    <pivotField axis="axisRow"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 dragToRow="0" dragToCol="0" dragToPage="0" showAll="0" defaultSubtotal="0"/>
    <pivotField dragToRow="0" dragToCol="0" dragToPage="0" showAll="0" defaultSubtotal="0"/>
  </pivotFields>
  <rowFields count="3">
    <field x="10"/>
    <field x="9"/>
    <field x="0"/>
  </rowFields>
  <rowItems count="4">
    <i>
      <x/>
    </i>
    <i>
      <x v="1"/>
    </i>
    <i>
      <x v="2"/>
    </i>
    <i t="grand">
      <x/>
    </i>
  </rowItems>
  <colItems count="1">
    <i/>
  </colItems>
  <dataFields count="1">
    <dataField name="Sum of New_Follower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5B4901E-9421-4883-B054-443AEE3D9C48}" sourceName="Platform">
  <pivotTables>
    <pivotTable tabId="17" name="PivotTable1"/>
  </pivotTables>
  <data>
    <tabular pivotCacheId="1790505717">
      <items count="5">
        <i x="3"/>
        <i x="0"/>
        <i x="1"/>
        <i x="2"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vidual_Hashtags" xr10:uid="{3F65A1D3-90C1-4306-B66D-BD2164019B2C}" sourceName="Individual Hashtags">
  <pivotTables>
    <pivotTable tabId="21" name="PivotTable5"/>
  </pivotTables>
  <data>
    <tabular pivotCacheId="1790505717">
      <items count="8">
        <i x="1"/>
        <i x="3"/>
        <i x="4"/>
        <i x="0"/>
        <i x="5"/>
        <i x="2" s="1"/>
        <i x="6"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Start_Date" xr10:uid="{5DB4A93E-3AF4-4B5B-B45A-FD0A78B79E3A}" sourceName="Week_Start_Date">
  <pivotTables>
    <pivotTable tabId="31" name="PivotTable6"/>
  </pivotTables>
  <data>
    <tabular pivotCacheId="1340020439">
      <items count="51">
        <i x="0"/>
        <i x="1"/>
        <i x="2"/>
        <i x="3"/>
        <i x="4"/>
        <i x="5" s="1"/>
        <i x="6"/>
        <i x="7"/>
        <i x="8"/>
        <i x="9"/>
        <i x="10"/>
        <i x="11"/>
        <i x="12"/>
        <i x="13"/>
        <i x="14"/>
        <i x="15"/>
        <i x="16"/>
        <i x="17"/>
        <i x="18"/>
        <i x="19"/>
        <i x="20"/>
        <i x="21"/>
        <i x="22"/>
        <i x="23"/>
        <i x="24"/>
        <i x="25"/>
        <i x="26"/>
        <i x="27"/>
        <i x="28"/>
        <i x="29"/>
        <i x="30"/>
        <i x="31"/>
        <i x="32"/>
        <i x="33"/>
        <i x="34"/>
        <i x="35"/>
        <i x="36"/>
        <i x="37"/>
        <i x="38"/>
        <i x="39"/>
        <i x="40"/>
        <i x="41"/>
        <i x="42"/>
        <i x="43"/>
        <i x="44"/>
        <i x="45"/>
        <i x="46"/>
        <i x="47"/>
        <i x="48"/>
        <i x="49"/>
        <i x="5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vidual Hashtags" xr10:uid="{F3360212-6431-4A09-BE6E-D845EB2F23FB}" cache="Slicer_Individual_Hashtags" caption="Individual Hashtag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A2FD47C-54AE-4FCF-AE4D-A66B2FD46182}" cache="Slicer_Platform" caption="Platform"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_Start_Date" xr10:uid="{94F289DD-2D1D-4157-BA11-4078CC5FF5A4}" cache="Slicer_Week_Start_Date" caption="Week_Start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15A53-096B-4994-9032-95F108562A49}" name="Table1" displayName="Table1" ref="M1:N1048576" totalsRowShown="0" headerRowDxfId="163" headerRowBorderDxfId="162" tableBorderDxfId="161">
  <autoFilter ref="M1:N1048576" xr:uid="{61015A53-096B-4994-9032-95F108562A49}"/>
  <tableColumns count="2">
    <tableColumn id="1" xr3:uid="{7525948D-3C99-441E-8626-FA4E1F92AF22}" name="Hashtags"/>
    <tableColumn id="2" xr3:uid="{1F1C9287-9B53-4006-973A-FF3CD2753474}" name="Individual Hashtag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27121C-9023-4103-B11E-BADA08F69D00}" name="Table3" displayName="Table3" ref="A1:K1000" totalsRowShown="0" headerRowDxfId="158" dataDxfId="156" headerRowBorderDxfId="157" tableBorderDxfId="155">
  <autoFilter ref="A1:K1000" xr:uid="{E927121C-9023-4103-B11E-BADA08F69D00}"/>
  <tableColumns count="11">
    <tableColumn id="1" xr3:uid="{850BB9AD-E94A-4A5B-A412-BCB41B61DE08}" name="Campaign_Name" dataDxfId="154"/>
    <tableColumn id="2" xr3:uid="{48F6285C-B59D-467B-A6D5-F02DFBCD0EE5}" name="Start_Date" dataDxfId="153"/>
    <tableColumn id="3" xr3:uid="{FAB5B2B7-A137-4BC4-A570-E6B1FA95B6CC}" name="End_Date" dataDxfId="152"/>
    <tableColumn id="4" xr3:uid="{4B1AC615-18B7-4207-B283-F7C3EBCCF84D}" name="Objective" dataDxfId="151"/>
    <tableColumn id="5" xr3:uid="{B502B636-B163-4B26-8976-385943172E4B}" name="Total_Budget" dataDxfId="150"/>
    <tableColumn id="6" xr3:uid="{B0D17A0D-C478-4E8D-93BB-02A14DCE5B1F}" name="Target_Platforms" dataDxfId="149"/>
    <tableColumn id="7" xr3:uid="{1B375361-DB28-4989-9409-AF63DD2C436D}" name="Primary_Hashtags" dataDxfId="148"/>
    <tableColumn id="8" xr3:uid="{D401B178-3506-408F-8C5F-B7D6D5132627}" name="Baseline Avg(Pre-Campaign)" dataDxfId="147">
      <calculatedColumnFormula>AVERAGEIFS('Engagement Summary'!F:F, 'Engagement Summary'!B:B, "*"&amp;LEFT(F2,5)&amp;"*", 'Engagement Summary'!A:A, "&lt;"&amp;B2, 'Engagement Summary'!A:A, "&gt;="&amp;B2-30)</calculatedColumnFormula>
    </tableColumn>
    <tableColumn id="9" xr3:uid="{9014C61D-64E9-4423-9F28-761C58FCD5CF}" name="Campaign Avg(During)" dataDxfId="146">
      <calculatedColumnFormula>AVERAGEIFS('Engagement Summary'!F:F, 'Engagement Summary'!B:B, "*"&amp;LEFT(F2,5)&amp;"*", 'Engagement Summary'!A:A, "&gt;="&amp;B2, 'Engagement Summary'!A:A, "&lt;="&amp;C2)</calculatedColumnFormula>
    </tableColumn>
    <tableColumn id="10" xr3:uid="{B11A5BB3-23BA-47E2-8387-8034636F681C}" name="Uplift %" dataDxfId="145">
      <calculatedColumnFormula>(I2-H2)/H2</calculatedColumnFormula>
    </tableColumn>
    <tableColumn id="11" xr3:uid="{964FCCF4-EC26-4D19-A72B-0CA2BD4F83BF}" name="Column1" dataDxfId="14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8.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16.xml"/><Relationship Id="rId4" Type="http://schemas.microsoft.com/office/2007/relationships/slicer" Target="../slicers/slicer3.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rive.google.com/file/d/12SKJ4mV9gP7PGR89uggSEKEkzluKuAwQ/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G1" zoomScaleNormal="100" workbookViewId="0">
      <selection activeCell="P2" sqref="P2"/>
    </sheetView>
  </sheetViews>
  <sheetFormatPr defaultColWidth="14.42578125" defaultRowHeight="15" customHeight="1" x14ac:dyDescent="0.25"/>
  <cols>
    <col min="1" max="1" width="8.7109375" customWidth="1"/>
    <col min="2" max="2" width="11" customWidth="1"/>
    <col min="3" max="3" width="12.28515625" style="5" customWidth="1"/>
    <col min="4" max="4" width="12.5703125" style="145" customWidth="1"/>
    <col min="5" max="5" width="41.28515625" customWidth="1"/>
    <col min="6" max="7" width="8.7109375" customWidth="1"/>
    <col min="8" max="8" width="11.140625" customWidth="1"/>
    <col min="9" max="9" width="11.28515625" style="8" customWidth="1"/>
    <col min="10" max="10" width="18" style="13" customWidth="1"/>
    <col min="11" max="11" width="8.7109375" style="8" customWidth="1"/>
    <col min="12" max="12" width="8.7109375" customWidth="1"/>
    <col min="13" max="13" width="54" customWidth="1"/>
    <col min="14" max="14" width="33" customWidth="1"/>
    <col min="15" max="15" width="20.42578125" customWidth="1"/>
    <col min="16" max="16" width="11.42578125" customWidth="1"/>
    <col min="17" max="27" width="8.7109375" customWidth="1"/>
  </cols>
  <sheetData>
    <row r="1" spans="1:16" x14ac:dyDescent="0.25">
      <c r="A1" s="1" t="s">
        <v>0</v>
      </c>
      <c r="B1" s="1" t="s">
        <v>1</v>
      </c>
      <c r="C1" s="3" t="s">
        <v>2</v>
      </c>
      <c r="D1" s="143" t="s">
        <v>3</v>
      </c>
      <c r="E1" s="1" t="s">
        <v>4</v>
      </c>
      <c r="F1" s="1" t="s">
        <v>5</v>
      </c>
      <c r="G1" s="1" t="s">
        <v>6</v>
      </c>
      <c r="H1" s="1" t="s">
        <v>7</v>
      </c>
      <c r="I1" s="6" t="s">
        <v>8</v>
      </c>
      <c r="J1" s="11" t="s">
        <v>651</v>
      </c>
      <c r="K1" s="6" t="s">
        <v>9</v>
      </c>
      <c r="L1" s="1" t="s">
        <v>10</v>
      </c>
      <c r="M1" s="9" t="s">
        <v>607</v>
      </c>
      <c r="N1" s="42" t="s">
        <v>611</v>
      </c>
      <c r="O1" s="1" t="s">
        <v>11</v>
      </c>
      <c r="P1" s="49" t="s">
        <v>647</v>
      </c>
    </row>
    <row r="2" spans="1:16" x14ac:dyDescent="0.25">
      <c r="A2" s="2" t="s">
        <v>440</v>
      </c>
      <c r="B2" s="2" t="s">
        <v>32</v>
      </c>
      <c r="C2" s="4" t="s">
        <v>415</v>
      </c>
      <c r="D2" s="144" t="s">
        <v>34</v>
      </c>
      <c r="E2" s="2" t="s">
        <v>35</v>
      </c>
      <c r="F2" s="2">
        <v>84</v>
      </c>
      <c r="G2" s="2">
        <v>897</v>
      </c>
      <c r="H2" s="2">
        <v>85</v>
      </c>
      <c r="I2" s="7">
        <v>588</v>
      </c>
      <c r="J2" s="12">
        <f t="shared" ref="J2:J33" si="0">(F2+G2+H2)/I2</f>
        <v>1.8129251700680271</v>
      </c>
      <c r="K2" s="7">
        <v>8</v>
      </c>
      <c r="L2" s="2">
        <v>12</v>
      </c>
      <c r="M2" s="2" t="s">
        <v>17</v>
      </c>
      <c r="N2" t="s">
        <v>61</v>
      </c>
      <c r="O2" s="2" t="s">
        <v>18</v>
      </c>
      <c r="P2">
        <f>F2+G2+H2</f>
        <v>1066</v>
      </c>
    </row>
    <row r="3" spans="1:16" x14ac:dyDescent="0.25">
      <c r="A3" s="2" t="s">
        <v>168</v>
      </c>
      <c r="B3" s="2" t="s">
        <v>32</v>
      </c>
      <c r="C3" s="4" t="s">
        <v>169</v>
      </c>
      <c r="D3" s="144" t="s">
        <v>15</v>
      </c>
      <c r="E3" s="2" t="s">
        <v>81</v>
      </c>
      <c r="F3" s="2">
        <v>103</v>
      </c>
      <c r="G3" s="2">
        <v>770</v>
      </c>
      <c r="H3" s="2">
        <v>19</v>
      </c>
      <c r="I3" s="7">
        <v>1030</v>
      </c>
      <c r="J3" s="12">
        <f t="shared" si="0"/>
        <v>0.86601941747572819</v>
      </c>
      <c r="K3" s="7">
        <v>410</v>
      </c>
      <c r="L3" s="2">
        <v>262</v>
      </c>
      <c r="M3" s="2" t="s">
        <v>23</v>
      </c>
      <c r="N3" t="s">
        <v>608</v>
      </c>
      <c r="O3" s="2" t="s">
        <v>24</v>
      </c>
      <c r="P3">
        <f t="shared" ref="P3:P66" si="1">F3+G3+H3</f>
        <v>892</v>
      </c>
    </row>
    <row r="4" spans="1:16" x14ac:dyDescent="0.25">
      <c r="A4" s="2" t="s">
        <v>458</v>
      </c>
      <c r="B4" s="2" t="s">
        <v>13</v>
      </c>
      <c r="C4" s="4" t="s">
        <v>459</v>
      </c>
      <c r="D4" s="144" t="s">
        <v>34</v>
      </c>
      <c r="E4" s="2" t="s">
        <v>148</v>
      </c>
      <c r="F4" s="2">
        <v>249</v>
      </c>
      <c r="G4" s="2">
        <v>592</v>
      </c>
      <c r="H4" s="2">
        <v>230</v>
      </c>
      <c r="I4" s="7">
        <v>1494</v>
      </c>
      <c r="J4" s="12">
        <f t="shared" si="0"/>
        <v>0.7168674698795181</v>
      </c>
      <c r="K4" s="7">
        <v>1044</v>
      </c>
      <c r="L4" s="2">
        <v>201</v>
      </c>
      <c r="M4" s="2" t="s">
        <v>29</v>
      </c>
      <c r="N4" t="s">
        <v>29</v>
      </c>
      <c r="O4" s="2" t="s">
        <v>30</v>
      </c>
      <c r="P4">
        <f t="shared" si="1"/>
        <v>1071</v>
      </c>
    </row>
    <row r="5" spans="1:16" x14ac:dyDescent="0.25">
      <c r="A5" s="2" t="s">
        <v>377</v>
      </c>
      <c r="B5" s="2" t="s">
        <v>32</v>
      </c>
      <c r="C5" s="4" t="s">
        <v>204</v>
      </c>
      <c r="D5" s="144" t="s">
        <v>73</v>
      </c>
      <c r="E5" s="2" t="s">
        <v>84</v>
      </c>
      <c r="F5" s="2">
        <v>129</v>
      </c>
      <c r="G5" s="2">
        <v>643</v>
      </c>
      <c r="H5" s="2">
        <v>136</v>
      </c>
      <c r="I5" s="7">
        <v>1290</v>
      </c>
      <c r="J5" s="12">
        <f t="shared" si="0"/>
        <v>0.70387596899224802</v>
      </c>
      <c r="K5" s="7">
        <v>839</v>
      </c>
      <c r="L5" s="2">
        <v>238</v>
      </c>
      <c r="M5" s="2" t="s">
        <v>36</v>
      </c>
      <c r="N5" t="s">
        <v>609</v>
      </c>
      <c r="O5" s="2" t="s">
        <v>37</v>
      </c>
      <c r="P5">
        <f t="shared" si="1"/>
        <v>908</v>
      </c>
    </row>
    <row r="6" spans="1:16" x14ac:dyDescent="0.25">
      <c r="A6" s="2" t="s">
        <v>371</v>
      </c>
      <c r="B6" s="2" t="s">
        <v>32</v>
      </c>
      <c r="C6" s="4" t="s">
        <v>372</v>
      </c>
      <c r="D6" s="144" t="s">
        <v>15</v>
      </c>
      <c r="E6" s="2" t="s">
        <v>81</v>
      </c>
      <c r="F6" s="2">
        <v>142</v>
      </c>
      <c r="G6" s="2">
        <v>784</v>
      </c>
      <c r="H6" s="2">
        <v>183</v>
      </c>
      <c r="I6" s="7">
        <v>1704</v>
      </c>
      <c r="J6" s="12">
        <f t="shared" si="0"/>
        <v>0.6508215962441315</v>
      </c>
      <c r="K6" s="7">
        <v>995</v>
      </c>
      <c r="L6" s="2">
        <v>154</v>
      </c>
      <c r="M6" s="2" t="s">
        <v>40</v>
      </c>
      <c r="N6" t="s">
        <v>29</v>
      </c>
      <c r="O6" s="2" t="s">
        <v>18</v>
      </c>
      <c r="P6">
        <f t="shared" si="1"/>
        <v>1109</v>
      </c>
    </row>
    <row r="7" spans="1:16" x14ac:dyDescent="0.25">
      <c r="A7" s="2" t="s">
        <v>177</v>
      </c>
      <c r="B7" s="2" t="s">
        <v>13</v>
      </c>
      <c r="C7" s="4" t="s">
        <v>178</v>
      </c>
      <c r="D7" s="144" t="s">
        <v>44</v>
      </c>
      <c r="E7" s="2" t="s">
        <v>48</v>
      </c>
      <c r="F7" s="2">
        <v>53</v>
      </c>
      <c r="G7" s="2">
        <v>81</v>
      </c>
      <c r="H7" s="2">
        <v>379</v>
      </c>
      <c r="I7" s="7">
        <v>954</v>
      </c>
      <c r="J7" s="12">
        <f t="shared" si="0"/>
        <v>0.53773584905660377</v>
      </c>
      <c r="K7" s="7">
        <v>7</v>
      </c>
      <c r="L7" s="2">
        <v>148</v>
      </c>
      <c r="M7" s="2" t="s">
        <v>29</v>
      </c>
      <c r="N7" t="s">
        <v>36</v>
      </c>
      <c r="O7" s="2" t="s">
        <v>24</v>
      </c>
      <c r="P7">
        <f t="shared" si="1"/>
        <v>513</v>
      </c>
    </row>
    <row r="8" spans="1:16" x14ac:dyDescent="0.25">
      <c r="A8" s="2" t="s">
        <v>510</v>
      </c>
      <c r="B8" s="2" t="s">
        <v>13</v>
      </c>
      <c r="C8" s="4" t="s">
        <v>511</v>
      </c>
      <c r="D8" s="144" t="s">
        <v>51</v>
      </c>
      <c r="E8" s="2" t="s">
        <v>131</v>
      </c>
      <c r="F8" s="2">
        <v>59</v>
      </c>
      <c r="G8" s="2">
        <v>163</v>
      </c>
      <c r="H8" s="2">
        <v>93</v>
      </c>
      <c r="I8" s="7">
        <v>590</v>
      </c>
      <c r="J8" s="12">
        <f t="shared" si="0"/>
        <v>0.53389830508474578</v>
      </c>
      <c r="K8" s="7">
        <v>475</v>
      </c>
      <c r="L8" s="2">
        <v>293</v>
      </c>
      <c r="M8" s="2" t="s">
        <v>29</v>
      </c>
      <c r="N8" t="s">
        <v>36</v>
      </c>
      <c r="O8" s="2" t="s">
        <v>24</v>
      </c>
      <c r="P8">
        <f t="shared" si="1"/>
        <v>315</v>
      </c>
    </row>
    <row r="9" spans="1:16" x14ac:dyDescent="0.25">
      <c r="A9" s="2" t="s">
        <v>319</v>
      </c>
      <c r="B9" s="2" t="s">
        <v>26</v>
      </c>
      <c r="C9" s="4" t="s">
        <v>273</v>
      </c>
      <c r="D9" s="144" t="s">
        <v>44</v>
      </c>
      <c r="E9" s="2" t="s">
        <v>67</v>
      </c>
      <c r="F9" s="2">
        <v>80</v>
      </c>
      <c r="G9" s="2">
        <v>362</v>
      </c>
      <c r="H9" s="2">
        <v>80</v>
      </c>
      <c r="I9" s="7">
        <v>1040</v>
      </c>
      <c r="J9" s="12">
        <f t="shared" si="0"/>
        <v>0.50192307692307692</v>
      </c>
      <c r="K9" s="7">
        <v>349</v>
      </c>
      <c r="L9" s="2">
        <v>117</v>
      </c>
      <c r="M9" s="2" t="s">
        <v>36</v>
      </c>
      <c r="N9" t="s">
        <v>29</v>
      </c>
      <c r="O9" s="2" t="s">
        <v>37</v>
      </c>
      <c r="P9">
        <f t="shared" si="1"/>
        <v>522</v>
      </c>
    </row>
    <row r="10" spans="1:16" x14ac:dyDescent="0.25">
      <c r="A10" s="2" t="s">
        <v>427</v>
      </c>
      <c r="B10" s="2" t="s">
        <v>26</v>
      </c>
      <c r="C10" s="4" t="s">
        <v>349</v>
      </c>
      <c r="D10" s="144" t="s">
        <v>51</v>
      </c>
      <c r="E10" s="2" t="s">
        <v>52</v>
      </c>
      <c r="F10" s="2">
        <v>257</v>
      </c>
      <c r="G10" s="2">
        <v>966</v>
      </c>
      <c r="H10" s="2">
        <v>398</v>
      </c>
      <c r="I10" s="7">
        <v>3341</v>
      </c>
      <c r="J10" s="12">
        <f t="shared" si="0"/>
        <v>0.48518407662376534</v>
      </c>
      <c r="K10" s="7">
        <v>2753</v>
      </c>
      <c r="L10" s="2">
        <v>287</v>
      </c>
      <c r="M10" s="2" t="s">
        <v>29</v>
      </c>
      <c r="N10" t="s">
        <v>29</v>
      </c>
      <c r="O10" s="2" t="s">
        <v>24</v>
      </c>
      <c r="P10">
        <f t="shared" si="1"/>
        <v>1621</v>
      </c>
    </row>
    <row r="11" spans="1:16" x14ac:dyDescent="0.25">
      <c r="A11" s="2" t="s">
        <v>191</v>
      </c>
      <c r="B11" s="2" t="s">
        <v>42</v>
      </c>
      <c r="C11" s="4" t="s">
        <v>192</v>
      </c>
      <c r="D11" s="144" t="s">
        <v>73</v>
      </c>
      <c r="E11" s="2" t="s">
        <v>74</v>
      </c>
      <c r="F11" s="2">
        <v>199</v>
      </c>
      <c r="G11" s="2">
        <v>772</v>
      </c>
      <c r="H11" s="2">
        <v>400</v>
      </c>
      <c r="I11" s="7">
        <v>3582</v>
      </c>
      <c r="J11" s="12">
        <f t="shared" si="0"/>
        <v>0.38274706867671693</v>
      </c>
      <c r="K11" s="7">
        <v>2988</v>
      </c>
      <c r="L11" s="2">
        <v>43</v>
      </c>
      <c r="M11" s="2" t="s">
        <v>29</v>
      </c>
      <c r="N11" t="s">
        <v>29</v>
      </c>
      <c r="O11" s="2" t="s">
        <v>24</v>
      </c>
      <c r="P11">
        <f t="shared" si="1"/>
        <v>1371</v>
      </c>
    </row>
    <row r="12" spans="1:16" x14ac:dyDescent="0.25">
      <c r="A12" s="2" t="s">
        <v>433</v>
      </c>
      <c r="B12" s="2" t="s">
        <v>32</v>
      </c>
      <c r="C12" s="4" t="s">
        <v>14</v>
      </c>
      <c r="D12" s="144" t="s">
        <v>51</v>
      </c>
      <c r="E12" s="2" t="s">
        <v>214</v>
      </c>
      <c r="F12" s="2">
        <v>521</v>
      </c>
      <c r="G12" s="2">
        <v>746</v>
      </c>
      <c r="H12" s="2">
        <v>315</v>
      </c>
      <c r="I12" s="7">
        <v>4168</v>
      </c>
      <c r="J12" s="12">
        <f t="shared" si="0"/>
        <v>0.37955854126679461</v>
      </c>
      <c r="K12" s="7">
        <v>3399</v>
      </c>
      <c r="L12" s="2">
        <v>282</v>
      </c>
      <c r="M12" s="2" t="s">
        <v>61</v>
      </c>
      <c r="N12" t="s">
        <v>36</v>
      </c>
      <c r="O12" s="2" t="s">
        <v>37</v>
      </c>
      <c r="P12">
        <f t="shared" si="1"/>
        <v>1582</v>
      </c>
    </row>
    <row r="13" spans="1:16" x14ac:dyDescent="0.25">
      <c r="A13" s="2" t="s">
        <v>158</v>
      </c>
      <c r="B13" s="2" t="s">
        <v>26</v>
      </c>
      <c r="C13" s="4" t="s">
        <v>146</v>
      </c>
      <c r="D13" s="144" t="s">
        <v>44</v>
      </c>
      <c r="E13" s="2" t="s">
        <v>67</v>
      </c>
      <c r="F13" s="2">
        <v>804</v>
      </c>
      <c r="G13" s="2">
        <v>639</v>
      </c>
      <c r="H13" s="2">
        <v>43</v>
      </c>
      <c r="I13" s="7">
        <v>4020</v>
      </c>
      <c r="J13" s="12">
        <f t="shared" si="0"/>
        <v>0.36965174129353234</v>
      </c>
      <c r="K13" s="7">
        <v>3144</v>
      </c>
      <c r="L13" s="2">
        <v>11</v>
      </c>
      <c r="M13" s="2" t="s">
        <v>61</v>
      </c>
      <c r="N13" t="s">
        <v>29</v>
      </c>
      <c r="O13" s="2" t="s">
        <v>30</v>
      </c>
      <c r="P13">
        <f t="shared" si="1"/>
        <v>1486</v>
      </c>
    </row>
    <row r="14" spans="1:16" x14ac:dyDescent="0.25">
      <c r="A14" s="2" t="s">
        <v>250</v>
      </c>
      <c r="B14" s="2" t="s">
        <v>13</v>
      </c>
      <c r="C14" s="4" t="s">
        <v>251</v>
      </c>
      <c r="D14" s="144" t="s">
        <v>15</v>
      </c>
      <c r="E14" s="2" t="s">
        <v>16</v>
      </c>
      <c r="F14" s="2">
        <v>1000</v>
      </c>
      <c r="G14" s="2">
        <v>978</v>
      </c>
      <c r="H14" s="2">
        <v>162</v>
      </c>
      <c r="I14" s="7">
        <v>6000</v>
      </c>
      <c r="J14" s="12">
        <f t="shared" si="0"/>
        <v>0.35666666666666669</v>
      </c>
      <c r="K14" s="7">
        <v>5221</v>
      </c>
      <c r="L14" s="2">
        <v>223</v>
      </c>
      <c r="M14" s="2" t="s">
        <v>36</v>
      </c>
      <c r="N14" t="s">
        <v>29</v>
      </c>
      <c r="O14" s="2" t="s">
        <v>18</v>
      </c>
      <c r="P14">
        <f t="shared" si="1"/>
        <v>2140</v>
      </c>
    </row>
    <row r="15" spans="1:16" x14ac:dyDescent="0.25">
      <c r="A15" s="2" t="s">
        <v>289</v>
      </c>
      <c r="B15" s="2" t="s">
        <v>26</v>
      </c>
      <c r="C15" s="4" t="s">
        <v>290</v>
      </c>
      <c r="D15" s="144" t="s">
        <v>44</v>
      </c>
      <c r="E15" s="2" t="s">
        <v>67</v>
      </c>
      <c r="F15" s="2">
        <v>736</v>
      </c>
      <c r="G15" s="2">
        <v>771</v>
      </c>
      <c r="H15" s="2">
        <v>225</v>
      </c>
      <c r="I15" s="7">
        <v>5152</v>
      </c>
      <c r="J15" s="12">
        <f t="shared" si="0"/>
        <v>0.33618012422360249</v>
      </c>
      <c r="K15" s="7">
        <v>4706</v>
      </c>
      <c r="L15" s="2">
        <v>19</v>
      </c>
      <c r="M15" s="2" t="s">
        <v>61</v>
      </c>
      <c r="N15" t="s">
        <v>61</v>
      </c>
      <c r="P15">
        <f t="shared" si="1"/>
        <v>1732</v>
      </c>
    </row>
    <row r="16" spans="1:16" x14ac:dyDescent="0.25">
      <c r="A16" s="2" t="s">
        <v>286</v>
      </c>
      <c r="B16" s="2" t="s">
        <v>32</v>
      </c>
      <c r="C16" s="4" t="s">
        <v>267</v>
      </c>
      <c r="D16" s="144" t="s">
        <v>34</v>
      </c>
      <c r="E16" s="2" t="s">
        <v>35</v>
      </c>
      <c r="F16" s="2">
        <v>498</v>
      </c>
      <c r="G16" s="2">
        <v>701</v>
      </c>
      <c r="H16" s="2">
        <v>412</v>
      </c>
      <c r="I16" s="7">
        <v>4980</v>
      </c>
      <c r="J16" s="12">
        <f t="shared" si="0"/>
        <v>0.32349397590361445</v>
      </c>
      <c r="K16" s="7">
        <v>4185</v>
      </c>
      <c r="L16" s="2">
        <v>185</v>
      </c>
      <c r="M16" s="2" t="s">
        <v>61</v>
      </c>
      <c r="N16" t="s">
        <v>61</v>
      </c>
      <c r="O16" s="2" t="s">
        <v>18</v>
      </c>
      <c r="P16">
        <f t="shared" si="1"/>
        <v>1611</v>
      </c>
    </row>
    <row r="17" spans="1:16" x14ac:dyDescent="0.25">
      <c r="A17" s="2" t="s">
        <v>446</v>
      </c>
      <c r="B17" s="2" t="s">
        <v>42</v>
      </c>
      <c r="C17" s="4" t="s">
        <v>447</v>
      </c>
      <c r="D17" s="144" t="s">
        <v>51</v>
      </c>
      <c r="E17" s="2" t="s">
        <v>58</v>
      </c>
      <c r="F17" s="2">
        <v>602</v>
      </c>
      <c r="G17" s="2">
        <v>594</v>
      </c>
      <c r="H17" s="2">
        <v>156</v>
      </c>
      <c r="I17" s="7">
        <v>4214</v>
      </c>
      <c r="J17" s="12">
        <f t="shared" si="0"/>
        <v>0.32083531086853345</v>
      </c>
      <c r="K17" s="7">
        <v>3363</v>
      </c>
      <c r="L17" s="2">
        <v>164</v>
      </c>
      <c r="M17" s="2" t="s">
        <v>61</v>
      </c>
      <c r="N17" t="s">
        <v>36</v>
      </c>
      <c r="O17" s="2" t="s">
        <v>30</v>
      </c>
      <c r="P17">
        <f t="shared" si="1"/>
        <v>1352</v>
      </c>
    </row>
    <row r="18" spans="1:16" x14ac:dyDescent="0.25">
      <c r="A18" s="2" t="s">
        <v>336</v>
      </c>
      <c r="B18" s="2" t="s">
        <v>32</v>
      </c>
      <c r="C18" s="4" t="s">
        <v>208</v>
      </c>
      <c r="D18" s="144" t="s">
        <v>44</v>
      </c>
      <c r="E18" s="2" t="s">
        <v>87</v>
      </c>
      <c r="F18" s="2">
        <v>985</v>
      </c>
      <c r="G18" s="2">
        <v>932</v>
      </c>
      <c r="H18" s="2">
        <v>287</v>
      </c>
      <c r="I18" s="7">
        <v>6895</v>
      </c>
      <c r="J18" s="12">
        <f t="shared" si="0"/>
        <v>0.31965192168237855</v>
      </c>
      <c r="K18" s="7">
        <v>6757</v>
      </c>
      <c r="L18" s="2">
        <v>64</v>
      </c>
      <c r="M18" s="2" t="s">
        <v>36</v>
      </c>
      <c r="N18" t="s">
        <v>61</v>
      </c>
      <c r="O18" s="2" t="s">
        <v>37</v>
      </c>
      <c r="P18">
        <f t="shared" si="1"/>
        <v>2204</v>
      </c>
    </row>
    <row r="19" spans="1:16" x14ac:dyDescent="0.25">
      <c r="A19" s="2" t="s">
        <v>283</v>
      </c>
      <c r="B19" s="2" t="s">
        <v>32</v>
      </c>
      <c r="C19" s="4" t="s">
        <v>284</v>
      </c>
      <c r="D19" s="144" t="s">
        <v>15</v>
      </c>
      <c r="E19" s="2" t="s">
        <v>81</v>
      </c>
      <c r="F19" s="2">
        <v>1970</v>
      </c>
      <c r="G19" s="2">
        <v>675</v>
      </c>
      <c r="H19" s="2">
        <v>478</v>
      </c>
      <c r="I19" s="7">
        <v>9850</v>
      </c>
      <c r="J19" s="12">
        <f t="shared" si="0"/>
        <v>0.31705583756345179</v>
      </c>
      <c r="K19" s="7">
        <v>8924</v>
      </c>
      <c r="L19" s="2">
        <v>117</v>
      </c>
      <c r="M19" s="2" t="s">
        <v>61</v>
      </c>
      <c r="N19" t="s">
        <v>61</v>
      </c>
      <c r="O19" s="2" t="s">
        <v>18</v>
      </c>
      <c r="P19">
        <f t="shared" si="1"/>
        <v>3123</v>
      </c>
    </row>
    <row r="20" spans="1:16" x14ac:dyDescent="0.25">
      <c r="A20" s="2" t="s">
        <v>545</v>
      </c>
      <c r="B20" s="2" t="s">
        <v>32</v>
      </c>
      <c r="C20" s="4" t="s">
        <v>403</v>
      </c>
      <c r="D20" s="144" t="s">
        <v>15</v>
      </c>
      <c r="E20" s="2" t="s">
        <v>81</v>
      </c>
      <c r="F20" s="2">
        <v>1164</v>
      </c>
      <c r="G20" s="2">
        <v>616</v>
      </c>
      <c r="H20" s="2">
        <v>324</v>
      </c>
      <c r="I20" s="7">
        <v>6984</v>
      </c>
      <c r="J20" s="12">
        <f t="shared" si="0"/>
        <v>0.30126002290950743</v>
      </c>
      <c r="K20" s="7">
        <v>6636</v>
      </c>
      <c r="L20" s="2">
        <v>82</v>
      </c>
      <c r="M20" s="2" t="s">
        <v>29</v>
      </c>
      <c r="N20" t="s">
        <v>61</v>
      </c>
      <c r="O20" s="2" t="s">
        <v>37</v>
      </c>
      <c r="P20">
        <f t="shared" si="1"/>
        <v>2104</v>
      </c>
    </row>
    <row r="21" spans="1:16" ht="15.75" customHeight="1" x14ac:dyDescent="0.25">
      <c r="A21" s="2" t="s">
        <v>418</v>
      </c>
      <c r="B21" s="2" t="s">
        <v>32</v>
      </c>
      <c r="C21" s="4" t="s">
        <v>335</v>
      </c>
      <c r="D21" s="144" t="s">
        <v>44</v>
      </c>
      <c r="E21" s="2" t="s">
        <v>87</v>
      </c>
      <c r="F21" s="2">
        <v>2234</v>
      </c>
      <c r="G21" s="2">
        <v>653</v>
      </c>
      <c r="H21" s="2">
        <v>432</v>
      </c>
      <c r="I21" s="7">
        <v>11170</v>
      </c>
      <c r="J21" s="12">
        <f t="shared" si="0"/>
        <v>0.29713518352730528</v>
      </c>
      <c r="K21" s="7">
        <v>10569</v>
      </c>
      <c r="L21" s="2">
        <v>198</v>
      </c>
      <c r="M21" s="2" t="s">
        <v>29</v>
      </c>
      <c r="N21" t="s">
        <v>36</v>
      </c>
      <c r="O21" s="2" t="s">
        <v>18</v>
      </c>
      <c r="P21">
        <f t="shared" si="1"/>
        <v>3319</v>
      </c>
    </row>
    <row r="22" spans="1:16" ht="15.75" customHeight="1" x14ac:dyDescent="0.25">
      <c r="A22" s="2" t="s">
        <v>184</v>
      </c>
      <c r="B22" s="2" t="s">
        <v>13</v>
      </c>
      <c r="C22" s="4" t="s">
        <v>185</v>
      </c>
      <c r="D22" s="144" t="s">
        <v>44</v>
      </c>
      <c r="E22" s="2" t="s">
        <v>48</v>
      </c>
      <c r="F22" s="2">
        <v>432</v>
      </c>
      <c r="G22" s="2">
        <v>171</v>
      </c>
      <c r="H22" s="2">
        <v>280</v>
      </c>
      <c r="I22" s="7">
        <v>3024</v>
      </c>
      <c r="J22" s="12">
        <f t="shared" si="0"/>
        <v>0.29199735449735448</v>
      </c>
      <c r="K22" s="7">
        <v>2285</v>
      </c>
      <c r="L22" s="2">
        <v>184</v>
      </c>
      <c r="M22" s="2" t="s">
        <v>61</v>
      </c>
      <c r="N22" t="s">
        <v>61</v>
      </c>
      <c r="O22" s="2" t="s">
        <v>37</v>
      </c>
      <c r="P22">
        <f t="shared" si="1"/>
        <v>883</v>
      </c>
    </row>
    <row r="23" spans="1:16" ht="15.75" customHeight="1" x14ac:dyDescent="0.25">
      <c r="A23" s="2" t="s">
        <v>383</v>
      </c>
      <c r="B23" s="2" t="s">
        <v>32</v>
      </c>
      <c r="C23" s="4" t="s">
        <v>384</v>
      </c>
      <c r="D23" s="144" t="s">
        <v>34</v>
      </c>
      <c r="E23" s="2" t="s">
        <v>35</v>
      </c>
      <c r="F23" s="2">
        <v>360</v>
      </c>
      <c r="G23" s="2">
        <v>590</v>
      </c>
      <c r="H23" s="2">
        <v>393</v>
      </c>
      <c r="I23" s="7">
        <v>4680</v>
      </c>
      <c r="J23" s="12">
        <f t="shared" si="0"/>
        <v>0.28696581196581195</v>
      </c>
      <c r="K23" s="7">
        <v>4322</v>
      </c>
      <c r="L23" s="2">
        <v>208</v>
      </c>
      <c r="M23" s="2" t="s">
        <v>29</v>
      </c>
      <c r="N23" t="s">
        <v>29</v>
      </c>
      <c r="O23" s="2" t="s">
        <v>37</v>
      </c>
      <c r="P23">
        <f t="shared" si="1"/>
        <v>1343</v>
      </c>
    </row>
    <row r="24" spans="1:16" ht="15.75" customHeight="1" x14ac:dyDescent="0.25">
      <c r="A24" s="2" t="s">
        <v>110</v>
      </c>
      <c r="B24" s="2" t="s">
        <v>32</v>
      </c>
      <c r="C24" s="4" t="s">
        <v>111</v>
      </c>
      <c r="D24" s="144" t="s">
        <v>21</v>
      </c>
      <c r="E24" s="2" t="s">
        <v>112</v>
      </c>
      <c r="F24" s="2">
        <v>438</v>
      </c>
      <c r="G24" s="2">
        <v>153</v>
      </c>
      <c r="H24" s="2">
        <v>275</v>
      </c>
      <c r="I24" s="7">
        <v>3066</v>
      </c>
      <c r="J24" s="12">
        <f t="shared" si="0"/>
        <v>0.28245270711024134</v>
      </c>
      <c r="K24" s="7">
        <v>2701</v>
      </c>
      <c r="L24" s="2">
        <v>282</v>
      </c>
      <c r="M24" s="2" t="s">
        <v>94</v>
      </c>
      <c r="N24" t="s">
        <v>29</v>
      </c>
      <c r="O24" s="2" t="s">
        <v>24</v>
      </c>
      <c r="P24">
        <f t="shared" si="1"/>
        <v>866</v>
      </c>
    </row>
    <row r="25" spans="1:16" ht="15.75" customHeight="1" x14ac:dyDescent="0.25">
      <c r="A25" s="2" t="s">
        <v>235</v>
      </c>
      <c r="B25" s="2" t="s">
        <v>32</v>
      </c>
      <c r="C25" s="4" t="s">
        <v>236</v>
      </c>
      <c r="D25" s="144" t="s">
        <v>73</v>
      </c>
      <c r="E25" s="2" t="s">
        <v>84</v>
      </c>
      <c r="F25" s="2">
        <v>1431</v>
      </c>
      <c r="G25" s="2">
        <v>951</v>
      </c>
      <c r="H25" s="2">
        <v>26</v>
      </c>
      <c r="I25" s="7">
        <v>8586</v>
      </c>
      <c r="J25" s="12">
        <f t="shared" si="0"/>
        <v>0.28045655718611695</v>
      </c>
      <c r="K25" s="7">
        <v>8396</v>
      </c>
      <c r="L25" s="2">
        <v>150</v>
      </c>
      <c r="M25" s="2" t="s">
        <v>61</v>
      </c>
      <c r="N25" t="s">
        <v>61</v>
      </c>
      <c r="O25" s="2" t="s">
        <v>30</v>
      </c>
      <c r="P25">
        <f t="shared" si="1"/>
        <v>2408</v>
      </c>
    </row>
    <row r="26" spans="1:16" ht="15.75" customHeight="1" x14ac:dyDescent="0.25">
      <c r="A26" s="2" t="s">
        <v>508</v>
      </c>
      <c r="B26" s="2" t="s">
        <v>32</v>
      </c>
      <c r="C26" s="4" t="s">
        <v>509</v>
      </c>
      <c r="D26" s="144" t="s">
        <v>15</v>
      </c>
      <c r="E26" s="2" t="s">
        <v>81</v>
      </c>
      <c r="F26" s="2">
        <v>2603</v>
      </c>
      <c r="G26" s="2">
        <v>690</v>
      </c>
      <c r="H26" s="2">
        <v>205</v>
      </c>
      <c r="I26" s="7">
        <v>13015</v>
      </c>
      <c r="J26" s="12">
        <f t="shared" si="0"/>
        <v>0.26876680752977333</v>
      </c>
      <c r="K26" s="7">
        <v>12130</v>
      </c>
      <c r="L26" s="2">
        <v>20</v>
      </c>
      <c r="M26" s="2" t="s">
        <v>36</v>
      </c>
      <c r="N26" t="s">
        <v>29</v>
      </c>
      <c r="P26">
        <f t="shared" si="1"/>
        <v>3498</v>
      </c>
    </row>
    <row r="27" spans="1:16" ht="15.75" customHeight="1" x14ac:dyDescent="0.25">
      <c r="A27" s="2" t="s">
        <v>485</v>
      </c>
      <c r="B27" s="2" t="s">
        <v>42</v>
      </c>
      <c r="C27" s="4" t="s">
        <v>60</v>
      </c>
      <c r="D27" s="144" t="s">
        <v>34</v>
      </c>
      <c r="E27" s="2" t="s">
        <v>70</v>
      </c>
      <c r="F27" s="2">
        <v>886</v>
      </c>
      <c r="G27" s="2">
        <v>126</v>
      </c>
      <c r="H27" s="2">
        <v>153</v>
      </c>
      <c r="I27" s="7">
        <v>4430</v>
      </c>
      <c r="J27" s="12">
        <f t="shared" si="0"/>
        <v>0.26297968397291194</v>
      </c>
      <c r="K27" s="7">
        <v>4037</v>
      </c>
      <c r="L27" s="2">
        <v>212</v>
      </c>
      <c r="M27" s="2" t="s">
        <v>61</v>
      </c>
      <c r="N27" t="s">
        <v>29</v>
      </c>
      <c r="O27" s="2" t="s">
        <v>24</v>
      </c>
      <c r="P27">
        <f t="shared" si="1"/>
        <v>1165</v>
      </c>
    </row>
    <row r="28" spans="1:16" ht="15.75" customHeight="1" x14ac:dyDescent="0.25">
      <c r="A28" s="2" t="s">
        <v>476</v>
      </c>
      <c r="B28" s="2" t="s">
        <v>26</v>
      </c>
      <c r="C28" s="4" t="s">
        <v>477</v>
      </c>
      <c r="D28" s="144" t="s">
        <v>73</v>
      </c>
      <c r="E28" s="2" t="s">
        <v>218</v>
      </c>
      <c r="F28" s="2">
        <v>4661</v>
      </c>
      <c r="G28" s="2">
        <v>935</v>
      </c>
      <c r="H28" s="2">
        <v>433</v>
      </c>
      <c r="I28" s="7">
        <v>23305</v>
      </c>
      <c r="J28" s="12">
        <f t="shared" si="0"/>
        <v>0.25869984981763572</v>
      </c>
      <c r="K28" s="7">
        <v>22583</v>
      </c>
      <c r="L28" s="2">
        <v>63</v>
      </c>
      <c r="M28" s="2" t="s">
        <v>61</v>
      </c>
      <c r="N28" t="s">
        <v>608</v>
      </c>
      <c r="O28" s="2" t="s">
        <v>37</v>
      </c>
      <c r="P28">
        <f t="shared" si="1"/>
        <v>6029</v>
      </c>
    </row>
    <row r="29" spans="1:16" ht="15.75" customHeight="1" x14ac:dyDescent="0.25">
      <c r="A29" s="2" t="s">
        <v>501</v>
      </c>
      <c r="B29" s="2" t="s">
        <v>42</v>
      </c>
      <c r="C29" s="4" t="s">
        <v>248</v>
      </c>
      <c r="D29" s="144" t="s">
        <v>21</v>
      </c>
      <c r="E29" s="2" t="s">
        <v>55</v>
      </c>
      <c r="F29" s="2">
        <v>562</v>
      </c>
      <c r="G29" s="2">
        <v>158</v>
      </c>
      <c r="H29" s="2">
        <v>149</v>
      </c>
      <c r="I29" s="7">
        <v>3372</v>
      </c>
      <c r="J29" s="12">
        <f t="shared" si="0"/>
        <v>0.25771055753262156</v>
      </c>
      <c r="K29" s="7">
        <v>2940</v>
      </c>
      <c r="L29" s="2">
        <v>93</v>
      </c>
      <c r="M29" s="2" t="s">
        <v>61</v>
      </c>
      <c r="N29" t="s">
        <v>61</v>
      </c>
      <c r="O29" s="2" t="s">
        <v>37</v>
      </c>
      <c r="P29">
        <f t="shared" si="1"/>
        <v>869</v>
      </c>
    </row>
    <row r="30" spans="1:16" ht="15.75" customHeight="1" x14ac:dyDescent="0.25">
      <c r="A30" s="2" t="s">
        <v>439</v>
      </c>
      <c r="B30" s="2" t="s">
        <v>13</v>
      </c>
      <c r="C30" s="4" t="s">
        <v>173</v>
      </c>
      <c r="D30" s="144" t="s">
        <v>15</v>
      </c>
      <c r="E30" s="2" t="s">
        <v>16</v>
      </c>
      <c r="F30" s="2">
        <v>1188</v>
      </c>
      <c r="G30" s="2">
        <v>470</v>
      </c>
      <c r="H30" s="2">
        <v>174</v>
      </c>
      <c r="I30" s="7">
        <v>7128</v>
      </c>
      <c r="J30" s="12">
        <f t="shared" si="0"/>
        <v>0.25701459034792368</v>
      </c>
      <c r="K30" s="7">
        <v>6145</v>
      </c>
      <c r="L30" s="2">
        <v>270</v>
      </c>
      <c r="M30" s="2" t="s">
        <v>61</v>
      </c>
      <c r="N30" t="s">
        <v>36</v>
      </c>
      <c r="O30" s="2" t="s">
        <v>30</v>
      </c>
      <c r="P30">
        <f t="shared" si="1"/>
        <v>1832</v>
      </c>
    </row>
    <row r="31" spans="1:16" ht="15.75" customHeight="1" x14ac:dyDescent="0.25">
      <c r="A31" s="2" t="s">
        <v>449</v>
      </c>
      <c r="B31" s="2" t="s">
        <v>32</v>
      </c>
      <c r="C31" s="4" t="s">
        <v>450</v>
      </c>
      <c r="D31" s="144" t="s">
        <v>44</v>
      </c>
      <c r="E31" s="2" t="s">
        <v>87</v>
      </c>
      <c r="F31" s="2">
        <v>1741</v>
      </c>
      <c r="G31" s="2">
        <v>164</v>
      </c>
      <c r="H31" s="2">
        <v>318</v>
      </c>
      <c r="I31" s="7">
        <v>8705</v>
      </c>
      <c r="J31" s="12">
        <f t="shared" si="0"/>
        <v>0.25537047673750718</v>
      </c>
      <c r="K31" s="7">
        <v>8272</v>
      </c>
      <c r="L31" s="2">
        <v>121</v>
      </c>
      <c r="M31" s="2" t="s">
        <v>36</v>
      </c>
      <c r="N31" t="s">
        <v>61</v>
      </c>
      <c r="P31">
        <f t="shared" si="1"/>
        <v>2223</v>
      </c>
    </row>
    <row r="32" spans="1:16" ht="15.75" customHeight="1" x14ac:dyDescent="0.25">
      <c r="A32" s="2" t="s">
        <v>512</v>
      </c>
      <c r="B32" s="2" t="s">
        <v>13</v>
      </c>
      <c r="C32" s="4" t="s">
        <v>513</v>
      </c>
      <c r="D32" s="144" t="s">
        <v>44</v>
      </c>
      <c r="E32" s="2" t="s">
        <v>48</v>
      </c>
      <c r="F32" s="2">
        <v>1877</v>
      </c>
      <c r="G32" s="2">
        <v>745</v>
      </c>
      <c r="H32" s="2">
        <v>225</v>
      </c>
      <c r="I32" s="7">
        <v>11262</v>
      </c>
      <c r="J32" s="12">
        <f t="shared" si="0"/>
        <v>0.25279701651571657</v>
      </c>
      <c r="K32" s="7">
        <v>10967</v>
      </c>
      <c r="L32" s="2">
        <v>41</v>
      </c>
      <c r="M32" s="2" t="s">
        <v>29</v>
      </c>
      <c r="N32" t="s">
        <v>61</v>
      </c>
      <c r="O32" s="2" t="s">
        <v>24</v>
      </c>
      <c r="P32">
        <f t="shared" si="1"/>
        <v>2847</v>
      </c>
    </row>
    <row r="33" spans="1:16" ht="15.75" customHeight="1" x14ac:dyDescent="0.25">
      <c r="A33" s="2" t="s">
        <v>469</v>
      </c>
      <c r="B33" s="2" t="s">
        <v>26</v>
      </c>
      <c r="C33" s="4" t="s">
        <v>146</v>
      </c>
      <c r="D33" s="144" t="s">
        <v>21</v>
      </c>
      <c r="E33" s="2" t="s">
        <v>103</v>
      </c>
      <c r="F33" s="2">
        <v>4188</v>
      </c>
      <c r="G33" s="2">
        <v>942</v>
      </c>
      <c r="H33" s="2">
        <v>118</v>
      </c>
      <c r="I33" s="7">
        <v>20940</v>
      </c>
      <c r="J33" s="12">
        <f t="shared" si="0"/>
        <v>0.25062082139446035</v>
      </c>
      <c r="K33" s="7">
        <v>20471</v>
      </c>
      <c r="L33" s="2">
        <v>102</v>
      </c>
      <c r="M33" s="2" t="s">
        <v>36</v>
      </c>
      <c r="N33" t="s">
        <v>61</v>
      </c>
      <c r="O33" s="2" t="s">
        <v>18</v>
      </c>
      <c r="P33">
        <f t="shared" si="1"/>
        <v>5248</v>
      </c>
    </row>
    <row r="34" spans="1:16" ht="15.75" customHeight="1" x14ac:dyDescent="0.25">
      <c r="A34" s="2" t="s">
        <v>530</v>
      </c>
      <c r="B34" s="2" t="s">
        <v>42</v>
      </c>
      <c r="C34" s="4" t="s">
        <v>290</v>
      </c>
      <c r="D34" s="144" t="s">
        <v>51</v>
      </c>
      <c r="E34" s="2" t="s">
        <v>58</v>
      </c>
      <c r="F34" s="2">
        <v>4236</v>
      </c>
      <c r="G34" s="2">
        <v>711</v>
      </c>
      <c r="H34" s="2">
        <v>298</v>
      </c>
      <c r="I34" s="7">
        <v>21180</v>
      </c>
      <c r="J34" s="12">
        <f t="shared" ref="J34:J65" si="2">(F34+G34+H34)/I34</f>
        <v>0.24763928234183191</v>
      </c>
      <c r="K34" s="7">
        <v>20516</v>
      </c>
      <c r="L34" s="2">
        <v>238</v>
      </c>
      <c r="M34" s="2" t="s">
        <v>29</v>
      </c>
      <c r="N34" t="s">
        <v>61</v>
      </c>
      <c r="O34" s="2" t="s">
        <v>18</v>
      </c>
      <c r="P34">
        <f t="shared" si="1"/>
        <v>5245</v>
      </c>
    </row>
    <row r="35" spans="1:16" ht="15.75" customHeight="1" x14ac:dyDescent="0.25">
      <c r="A35" s="2" t="s">
        <v>561</v>
      </c>
      <c r="B35" s="2" t="s">
        <v>13</v>
      </c>
      <c r="C35" s="4" t="s">
        <v>562</v>
      </c>
      <c r="D35" s="144" t="s">
        <v>21</v>
      </c>
      <c r="E35" s="2" t="s">
        <v>22</v>
      </c>
      <c r="F35" s="2">
        <v>2166</v>
      </c>
      <c r="G35" s="2">
        <v>354</v>
      </c>
      <c r="H35" s="2">
        <v>117</v>
      </c>
      <c r="I35" s="7">
        <v>10830</v>
      </c>
      <c r="J35" s="12">
        <f t="shared" si="2"/>
        <v>0.24349030470914126</v>
      </c>
      <c r="K35" s="7">
        <v>10245</v>
      </c>
      <c r="L35" s="2">
        <v>24</v>
      </c>
      <c r="M35" s="2" t="s">
        <v>29</v>
      </c>
      <c r="N35" t="s">
        <v>36</v>
      </c>
      <c r="O35" s="2" t="s">
        <v>30</v>
      </c>
      <c r="P35">
        <f t="shared" si="1"/>
        <v>2637</v>
      </c>
    </row>
    <row r="36" spans="1:16" ht="15.75" customHeight="1" x14ac:dyDescent="0.25">
      <c r="A36" s="2" t="s">
        <v>380</v>
      </c>
      <c r="B36" s="2" t="s">
        <v>26</v>
      </c>
      <c r="C36" s="4" t="s">
        <v>381</v>
      </c>
      <c r="D36" s="144" t="s">
        <v>51</v>
      </c>
      <c r="E36" s="2" t="s">
        <v>52</v>
      </c>
      <c r="F36" s="2">
        <v>606</v>
      </c>
      <c r="G36" s="2">
        <v>789</v>
      </c>
      <c r="H36" s="2">
        <v>470</v>
      </c>
      <c r="I36" s="7">
        <v>7878</v>
      </c>
      <c r="J36" s="12">
        <f t="shared" si="2"/>
        <v>0.23673521198273673</v>
      </c>
      <c r="K36" s="7">
        <v>7389</v>
      </c>
      <c r="L36" s="2">
        <v>239</v>
      </c>
      <c r="M36" s="2" t="s">
        <v>61</v>
      </c>
      <c r="N36" t="s">
        <v>29</v>
      </c>
      <c r="O36" s="2" t="s">
        <v>24</v>
      </c>
      <c r="P36">
        <f t="shared" si="1"/>
        <v>1865</v>
      </c>
    </row>
    <row r="37" spans="1:16" ht="15.75" customHeight="1" x14ac:dyDescent="0.25">
      <c r="A37" s="2" t="s">
        <v>480</v>
      </c>
      <c r="B37" s="2" t="s">
        <v>42</v>
      </c>
      <c r="C37" s="4" t="s">
        <v>481</v>
      </c>
      <c r="D37" s="144" t="s">
        <v>51</v>
      </c>
      <c r="E37" s="2" t="s">
        <v>58</v>
      </c>
      <c r="F37" s="2">
        <v>400</v>
      </c>
      <c r="G37" s="2">
        <v>680</v>
      </c>
      <c r="H37" s="2">
        <v>434</v>
      </c>
      <c r="I37" s="7">
        <v>6400</v>
      </c>
      <c r="J37" s="12">
        <f t="shared" si="2"/>
        <v>0.23656250000000001</v>
      </c>
      <c r="K37" s="7">
        <v>5472</v>
      </c>
      <c r="L37" s="2">
        <v>160</v>
      </c>
      <c r="M37" s="2" t="s">
        <v>36</v>
      </c>
      <c r="N37" t="s">
        <v>36</v>
      </c>
      <c r="O37" s="2" t="s">
        <v>24</v>
      </c>
      <c r="P37">
        <f t="shared" si="1"/>
        <v>1514</v>
      </c>
    </row>
    <row r="38" spans="1:16" ht="15.75" customHeight="1" x14ac:dyDescent="0.25">
      <c r="A38" s="2" t="s">
        <v>288</v>
      </c>
      <c r="B38" s="2" t="s">
        <v>32</v>
      </c>
      <c r="C38" s="4" t="s">
        <v>257</v>
      </c>
      <c r="D38" s="144" t="s">
        <v>34</v>
      </c>
      <c r="E38" s="2" t="s">
        <v>35</v>
      </c>
      <c r="F38" s="2">
        <v>4363</v>
      </c>
      <c r="G38" s="2">
        <v>649</v>
      </c>
      <c r="H38" s="2">
        <v>140</v>
      </c>
      <c r="I38" s="7">
        <v>21815</v>
      </c>
      <c r="J38" s="12">
        <f t="shared" si="2"/>
        <v>0.23616777446710979</v>
      </c>
      <c r="K38" s="7">
        <v>21481</v>
      </c>
      <c r="L38" s="2">
        <v>157</v>
      </c>
      <c r="M38" s="2" t="s">
        <v>36</v>
      </c>
      <c r="N38" t="s">
        <v>29</v>
      </c>
      <c r="O38" s="2" t="s">
        <v>24</v>
      </c>
      <c r="P38">
        <f t="shared" si="1"/>
        <v>5152</v>
      </c>
    </row>
    <row r="39" spans="1:16" ht="15.75" customHeight="1" x14ac:dyDescent="0.25">
      <c r="A39" s="2" t="s">
        <v>285</v>
      </c>
      <c r="B39" s="2" t="s">
        <v>42</v>
      </c>
      <c r="C39" s="4" t="s">
        <v>167</v>
      </c>
      <c r="D39" s="144" t="s">
        <v>34</v>
      </c>
      <c r="E39" s="2" t="s">
        <v>70</v>
      </c>
      <c r="F39" s="2">
        <v>780</v>
      </c>
      <c r="G39" s="2">
        <v>928</v>
      </c>
      <c r="H39" s="2">
        <v>301</v>
      </c>
      <c r="I39" s="7">
        <v>8580</v>
      </c>
      <c r="J39" s="12">
        <f t="shared" si="2"/>
        <v>0.23414918414918415</v>
      </c>
      <c r="K39" s="7">
        <v>8081</v>
      </c>
      <c r="L39" s="2">
        <v>91</v>
      </c>
      <c r="M39" s="2" t="s">
        <v>29</v>
      </c>
      <c r="N39" t="s">
        <v>29</v>
      </c>
      <c r="O39" s="2" t="s">
        <v>37</v>
      </c>
      <c r="P39">
        <f t="shared" si="1"/>
        <v>2009</v>
      </c>
    </row>
    <row r="40" spans="1:16" ht="15.75" customHeight="1" x14ac:dyDescent="0.25">
      <c r="A40" s="2" t="s">
        <v>316</v>
      </c>
      <c r="B40" s="2" t="s">
        <v>13</v>
      </c>
      <c r="C40" s="4" t="s">
        <v>317</v>
      </c>
      <c r="D40" s="144" t="s">
        <v>51</v>
      </c>
      <c r="E40" s="2" t="s">
        <v>131</v>
      </c>
      <c r="F40" s="2">
        <v>3170</v>
      </c>
      <c r="G40" s="2">
        <v>857</v>
      </c>
      <c r="H40" s="2">
        <v>379</v>
      </c>
      <c r="I40" s="7">
        <v>19020</v>
      </c>
      <c r="J40" s="12">
        <f t="shared" si="2"/>
        <v>0.2316508937960042</v>
      </c>
      <c r="K40" s="7">
        <v>18559</v>
      </c>
      <c r="L40" s="2">
        <v>240</v>
      </c>
      <c r="M40" s="2" t="s">
        <v>29</v>
      </c>
      <c r="N40" t="s">
        <v>61</v>
      </c>
      <c r="P40">
        <f t="shared" si="1"/>
        <v>4406</v>
      </c>
    </row>
    <row r="41" spans="1:16" ht="15.75" customHeight="1" x14ac:dyDescent="0.25">
      <c r="A41" s="2" t="s">
        <v>352</v>
      </c>
      <c r="B41" s="2" t="s">
        <v>32</v>
      </c>
      <c r="C41" s="4" t="s">
        <v>353</v>
      </c>
      <c r="D41" s="144" t="s">
        <v>51</v>
      </c>
      <c r="E41" s="2" t="s">
        <v>214</v>
      </c>
      <c r="F41" s="2">
        <v>4501</v>
      </c>
      <c r="G41" s="2">
        <v>375</v>
      </c>
      <c r="H41" s="2">
        <v>323</v>
      </c>
      <c r="I41" s="7">
        <v>22505</v>
      </c>
      <c r="J41" s="12">
        <f t="shared" si="2"/>
        <v>0.23101532992668297</v>
      </c>
      <c r="K41" s="7">
        <v>21836</v>
      </c>
      <c r="L41" s="2">
        <v>132</v>
      </c>
      <c r="M41" s="2" t="s">
        <v>36</v>
      </c>
      <c r="N41" t="s">
        <v>36</v>
      </c>
      <c r="O41" s="2" t="s">
        <v>37</v>
      </c>
      <c r="P41">
        <f t="shared" si="1"/>
        <v>5199</v>
      </c>
    </row>
    <row r="42" spans="1:16" ht="15.75" customHeight="1" x14ac:dyDescent="0.25">
      <c r="A42" s="2" t="s">
        <v>518</v>
      </c>
      <c r="B42" s="2" t="s">
        <v>32</v>
      </c>
      <c r="C42" s="4" t="s">
        <v>519</v>
      </c>
      <c r="D42" s="144" t="s">
        <v>73</v>
      </c>
      <c r="E42" s="2" t="s">
        <v>84</v>
      </c>
      <c r="F42" s="2">
        <v>4561</v>
      </c>
      <c r="G42" s="2">
        <v>51</v>
      </c>
      <c r="H42" s="2">
        <v>441</v>
      </c>
      <c r="I42" s="7">
        <v>22805</v>
      </c>
      <c r="J42" s="12">
        <f t="shared" si="2"/>
        <v>0.22157421618066214</v>
      </c>
      <c r="K42" s="7">
        <v>21890</v>
      </c>
      <c r="L42" s="2">
        <v>45</v>
      </c>
      <c r="M42" s="2" t="s">
        <v>61</v>
      </c>
      <c r="N42" t="s">
        <v>36</v>
      </c>
      <c r="O42" s="2" t="s">
        <v>37</v>
      </c>
      <c r="P42">
        <f t="shared" si="1"/>
        <v>5053</v>
      </c>
    </row>
    <row r="43" spans="1:16" ht="15.75" customHeight="1" x14ac:dyDescent="0.25">
      <c r="A43" s="2" t="s">
        <v>134</v>
      </c>
      <c r="B43" s="2" t="s">
        <v>26</v>
      </c>
      <c r="C43" s="4" t="s">
        <v>135</v>
      </c>
      <c r="D43" s="144" t="s">
        <v>15</v>
      </c>
      <c r="E43" s="2" t="s">
        <v>28</v>
      </c>
      <c r="F43" s="2">
        <v>1543</v>
      </c>
      <c r="G43" s="2">
        <v>820</v>
      </c>
      <c r="H43" s="2">
        <v>333</v>
      </c>
      <c r="I43" s="7">
        <v>12344</v>
      </c>
      <c r="J43" s="12">
        <f t="shared" si="2"/>
        <v>0.21840570317563188</v>
      </c>
      <c r="K43" s="7">
        <v>11496</v>
      </c>
      <c r="L43" s="2">
        <v>241</v>
      </c>
      <c r="M43" s="2" t="s">
        <v>36</v>
      </c>
      <c r="N43" t="s">
        <v>29</v>
      </c>
      <c r="P43">
        <f t="shared" si="1"/>
        <v>2696</v>
      </c>
    </row>
    <row r="44" spans="1:16" ht="15.75" customHeight="1" x14ac:dyDescent="0.25">
      <c r="A44" s="2" t="s">
        <v>136</v>
      </c>
      <c r="B44" s="2" t="s">
        <v>32</v>
      </c>
      <c r="C44" s="4" t="s">
        <v>137</v>
      </c>
      <c r="D44" s="144" t="s">
        <v>44</v>
      </c>
      <c r="E44" s="2" t="s">
        <v>87</v>
      </c>
      <c r="F44" s="2">
        <v>2174</v>
      </c>
      <c r="G44" s="2">
        <v>658</v>
      </c>
      <c r="H44" s="2">
        <v>15</v>
      </c>
      <c r="I44" s="7">
        <v>13044</v>
      </c>
      <c r="J44" s="12">
        <f t="shared" si="2"/>
        <v>0.21826126954921804</v>
      </c>
      <c r="K44" s="7">
        <v>12206</v>
      </c>
      <c r="L44" s="2">
        <v>137</v>
      </c>
      <c r="M44" s="2" t="s">
        <v>29</v>
      </c>
      <c r="N44" t="s">
        <v>29</v>
      </c>
      <c r="O44" s="2" t="s">
        <v>30</v>
      </c>
      <c r="P44">
        <f t="shared" si="1"/>
        <v>2847</v>
      </c>
    </row>
    <row r="45" spans="1:16" ht="15.75" customHeight="1" x14ac:dyDescent="0.25">
      <c r="A45" s="2" t="s">
        <v>345</v>
      </c>
      <c r="B45" s="2" t="s">
        <v>42</v>
      </c>
      <c r="C45" s="4" t="s">
        <v>128</v>
      </c>
      <c r="D45" s="144" t="s">
        <v>34</v>
      </c>
      <c r="E45" s="2" t="s">
        <v>70</v>
      </c>
      <c r="F45" s="2">
        <v>2120</v>
      </c>
      <c r="G45" s="2">
        <v>158</v>
      </c>
      <c r="H45" s="2">
        <v>488</v>
      </c>
      <c r="I45" s="7">
        <v>12720</v>
      </c>
      <c r="J45" s="12">
        <f t="shared" si="2"/>
        <v>0.21745283018867925</v>
      </c>
      <c r="K45" s="7">
        <v>12085</v>
      </c>
      <c r="L45" s="2">
        <v>17</v>
      </c>
      <c r="M45" s="2" t="s">
        <v>29</v>
      </c>
      <c r="N45" t="s">
        <v>36</v>
      </c>
      <c r="P45">
        <f t="shared" si="1"/>
        <v>2766</v>
      </c>
    </row>
    <row r="46" spans="1:16" ht="15.75" customHeight="1" x14ac:dyDescent="0.25">
      <c r="A46" s="2" t="s">
        <v>322</v>
      </c>
      <c r="B46" s="2" t="s">
        <v>26</v>
      </c>
      <c r="C46" s="4" t="s">
        <v>323</v>
      </c>
      <c r="D46" s="144" t="s">
        <v>15</v>
      </c>
      <c r="E46" s="2" t="s">
        <v>28</v>
      </c>
      <c r="F46" s="2">
        <v>3065</v>
      </c>
      <c r="G46" s="2">
        <v>772</v>
      </c>
      <c r="H46" s="2">
        <v>142</v>
      </c>
      <c r="I46" s="7">
        <v>18390</v>
      </c>
      <c r="J46" s="12">
        <f t="shared" si="2"/>
        <v>0.21636759108210984</v>
      </c>
      <c r="K46" s="7">
        <v>17875</v>
      </c>
      <c r="L46" s="2">
        <v>200</v>
      </c>
      <c r="M46" s="2" t="s">
        <v>61</v>
      </c>
      <c r="N46" t="s">
        <v>61</v>
      </c>
      <c r="O46" s="2" t="s">
        <v>18</v>
      </c>
      <c r="P46">
        <f t="shared" si="1"/>
        <v>3979</v>
      </c>
    </row>
    <row r="47" spans="1:16" ht="15.75" customHeight="1" x14ac:dyDescent="0.25">
      <c r="A47" s="2" t="s">
        <v>106</v>
      </c>
      <c r="B47" s="2" t="s">
        <v>32</v>
      </c>
      <c r="C47" s="4" t="s">
        <v>107</v>
      </c>
      <c r="D47" s="144" t="s">
        <v>44</v>
      </c>
      <c r="E47" s="2" t="s">
        <v>87</v>
      </c>
      <c r="F47" s="2">
        <v>2566</v>
      </c>
      <c r="G47" s="2">
        <v>118</v>
      </c>
      <c r="H47" s="2">
        <v>37</v>
      </c>
      <c r="I47" s="7">
        <v>12830</v>
      </c>
      <c r="J47" s="12">
        <f t="shared" si="2"/>
        <v>0.21208106001558846</v>
      </c>
      <c r="K47" s="7">
        <v>12264</v>
      </c>
      <c r="L47" s="2">
        <v>221</v>
      </c>
      <c r="M47" s="2" t="s">
        <v>29</v>
      </c>
      <c r="N47" t="s">
        <v>36</v>
      </c>
      <c r="O47" s="2" t="s">
        <v>37</v>
      </c>
      <c r="P47">
        <f t="shared" si="1"/>
        <v>2721</v>
      </c>
    </row>
    <row r="48" spans="1:16" ht="15.75" customHeight="1" x14ac:dyDescent="0.25">
      <c r="A48" s="2" t="s">
        <v>309</v>
      </c>
      <c r="B48" s="2" t="s">
        <v>42</v>
      </c>
      <c r="C48" s="4" t="s">
        <v>114</v>
      </c>
      <c r="D48" s="144" t="s">
        <v>73</v>
      </c>
      <c r="E48" s="2" t="s">
        <v>74</v>
      </c>
      <c r="F48" s="2">
        <v>3008</v>
      </c>
      <c r="G48" s="2">
        <v>94</v>
      </c>
      <c r="H48" s="2">
        <v>37</v>
      </c>
      <c r="I48" s="7">
        <v>15040</v>
      </c>
      <c r="J48" s="12">
        <f t="shared" si="2"/>
        <v>0.20871010638297871</v>
      </c>
      <c r="K48" s="7">
        <v>14639</v>
      </c>
      <c r="L48" s="2">
        <v>277</v>
      </c>
      <c r="M48" s="2" t="s">
        <v>61</v>
      </c>
      <c r="N48" t="s">
        <v>29</v>
      </c>
      <c r="P48">
        <f t="shared" si="1"/>
        <v>3139</v>
      </c>
    </row>
    <row r="49" spans="1:16" ht="15.75" customHeight="1" x14ac:dyDescent="0.25">
      <c r="A49" s="2" t="s">
        <v>224</v>
      </c>
      <c r="B49" s="2" t="s">
        <v>13</v>
      </c>
      <c r="C49" s="4" t="s">
        <v>225</v>
      </c>
      <c r="D49" s="144" t="s">
        <v>73</v>
      </c>
      <c r="E49" s="2" t="s">
        <v>144</v>
      </c>
      <c r="F49" s="2">
        <v>1436</v>
      </c>
      <c r="G49" s="2">
        <v>765</v>
      </c>
      <c r="H49" s="2">
        <v>496</v>
      </c>
      <c r="I49" s="7">
        <v>12924</v>
      </c>
      <c r="J49" s="12">
        <f t="shared" si="2"/>
        <v>0.20868152274837512</v>
      </c>
      <c r="K49" s="7">
        <v>12701</v>
      </c>
      <c r="L49" s="2">
        <v>197</v>
      </c>
      <c r="M49" s="2" t="s">
        <v>29</v>
      </c>
      <c r="N49" t="s">
        <v>29</v>
      </c>
      <c r="P49">
        <f t="shared" si="1"/>
        <v>2697</v>
      </c>
    </row>
    <row r="50" spans="1:16" ht="15.75" customHeight="1" x14ac:dyDescent="0.25">
      <c r="A50" s="2" t="s">
        <v>521</v>
      </c>
      <c r="B50" s="2" t="s">
        <v>32</v>
      </c>
      <c r="C50" s="4" t="s">
        <v>522</v>
      </c>
      <c r="D50" s="144" t="s">
        <v>73</v>
      </c>
      <c r="E50" s="2" t="s">
        <v>84</v>
      </c>
      <c r="F50" s="2">
        <v>3575</v>
      </c>
      <c r="G50" s="2">
        <v>749</v>
      </c>
      <c r="H50" s="2">
        <v>111</v>
      </c>
      <c r="I50" s="7">
        <v>21450</v>
      </c>
      <c r="J50" s="12">
        <f t="shared" si="2"/>
        <v>0.20675990675990677</v>
      </c>
      <c r="K50" s="7">
        <v>20785</v>
      </c>
      <c r="L50" s="2">
        <v>195</v>
      </c>
      <c r="M50" s="2" t="s">
        <v>29</v>
      </c>
      <c r="N50" t="s">
        <v>61</v>
      </c>
      <c r="O50" s="2" t="s">
        <v>37</v>
      </c>
      <c r="P50">
        <f t="shared" si="1"/>
        <v>4435</v>
      </c>
    </row>
    <row r="51" spans="1:16" ht="15.75" customHeight="1" x14ac:dyDescent="0.25">
      <c r="A51" s="2" t="s">
        <v>205</v>
      </c>
      <c r="B51" s="2" t="s">
        <v>42</v>
      </c>
      <c r="C51" s="4" t="s">
        <v>105</v>
      </c>
      <c r="D51" s="144" t="s">
        <v>34</v>
      </c>
      <c r="E51" s="2" t="s">
        <v>70</v>
      </c>
      <c r="F51" s="2">
        <v>1249</v>
      </c>
      <c r="G51" s="2">
        <v>116</v>
      </c>
      <c r="H51" s="2">
        <v>420</v>
      </c>
      <c r="I51" s="7">
        <v>8743</v>
      </c>
      <c r="J51" s="12">
        <f t="shared" si="2"/>
        <v>0.20416333066453163</v>
      </c>
      <c r="K51" s="7">
        <v>8538</v>
      </c>
      <c r="L51" s="2">
        <v>63</v>
      </c>
      <c r="M51" s="2" t="s">
        <v>29</v>
      </c>
      <c r="N51" t="s">
        <v>29</v>
      </c>
      <c r="O51" s="2" t="s">
        <v>30</v>
      </c>
      <c r="P51">
        <f t="shared" si="1"/>
        <v>1785</v>
      </c>
    </row>
    <row r="52" spans="1:16" ht="15.75" customHeight="1" x14ac:dyDescent="0.25">
      <c r="A52" s="2" t="s">
        <v>307</v>
      </c>
      <c r="B52" s="2" t="s">
        <v>32</v>
      </c>
      <c r="C52" s="4" t="s">
        <v>308</v>
      </c>
      <c r="D52" s="144" t="s">
        <v>21</v>
      </c>
      <c r="E52" s="2" t="s">
        <v>112</v>
      </c>
      <c r="F52" s="2">
        <v>3134</v>
      </c>
      <c r="G52" s="2">
        <v>888</v>
      </c>
      <c r="H52" s="2">
        <v>444</v>
      </c>
      <c r="I52" s="7">
        <v>21938</v>
      </c>
      <c r="J52" s="12">
        <f t="shared" si="2"/>
        <v>0.20357370772176134</v>
      </c>
      <c r="K52" s="7">
        <v>21337</v>
      </c>
      <c r="L52" s="2">
        <v>130</v>
      </c>
      <c r="M52" s="2" t="s">
        <v>61</v>
      </c>
      <c r="N52" t="s">
        <v>61</v>
      </c>
      <c r="O52" s="2" t="s">
        <v>24</v>
      </c>
      <c r="P52">
        <f t="shared" si="1"/>
        <v>4466</v>
      </c>
    </row>
    <row r="53" spans="1:16" ht="15.75" customHeight="1" x14ac:dyDescent="0.25">
      <c r="A53" s="2" t="s">
        <v>499</v>
      </c>
      <c r="B53" s="2" t="s">
        <v>32</v>
      </c>
      <c r="C53" s="4" t="s">
        <v>500</v>
      </c>
      <c r="D53" s="144" t="s">
        <v>34</v>
      </c>
      <c r="E53" s="2" t="s">
        <v>35</v>
      </c>
      <c r="F53" s="2">
        <v>3601</v>
      </c>
      <c r="G53" s="2">
        <v>695</v>
      </c>
      <c r="H53" s="2">
        <v>75</v>
      </c>
      <c r="I53" s="7">
        <v>21606</v>
      </c>
      <c r="J53" s="12">
        <f t="shared" si="2"/>
        <v>0.2023049153013052</v>
      </c>
      <c r="K53" s="7">
        <v>21454</v>
      </c>
      <c r="L53" s="2">
        <v>172</v>
      </c>
      <c r="M53" s="2" t="s">
        <v>29</v>
      </c>
      <c r="N53" t="s">
        <v>29</v>
      </c>
      <c r="O53" s="2" t="s">
        <v>37</v>
      </c>
      <c r="P53">
        <f t="shared" si="1"/>
        <v>4371</v>
      </c>
    </row>
    <row r="54" spans="1:16" ht="15.75" customHeight="1" x14ac:dyDescent="0.25">
      <c r="A54" s="2" t="s">
        <v>528</v>
      </c>
      <c r="B54" s="2" t="s">
        <v>13</v>
      </c>
      <c r="C54" s="4" t="s">
        <v>529</v>
      </c>
      <c r="D54" s="144" t="s">
        <v>44</v>
      </c>
      <c r="E54" s="2" t="s">
        <v>48</v>
      </c>
      <c r="F54" s="2">
        <v>1556</v>
      </c>
      <c r="G54" s="2">
        <v>195</v>
      </c>
      <c r="H54" s="2">
        <v>131</v>
      </c>
      <c r="I54" s="7">
        <v>9336</v>
      </c>
      <c r="J54" s="12">
        <f t="shared" si="2"/>
        <v>0.2015852613538989</v>
      </c>
      <c r="K54" s="7">
        <v>8875</v>
      </c>
      <c r="L54" s="2">
        <v>137</v>
      </c>
      <c r="M54" s="2" t="s">
        <v>159</v>
      </c>
      <c r="N54" t="s">
        <v>29</v>
      </c>
      <c r="P54">
        <f t="shared" si="1"/>
        <v>1882</v>
      </c>
    </row>
    <row r="55" spans="1:16" ht="15.75" customHeight="1" x14ac:dyDescent="0.25">
      <c r="A55" s="2" t="s">
        <v>326</v>
      </c>
      <c r="B55" s="2" t="s">
        <v>32</v>
      </c>
      <c r="C55" s="4" t="s">
        <v>169</v>
      </c>
      <c r="D55" s="144" t="s">
        <v>73</v>
      </c>
      <c r="E55" s="2" t="s">
        <v>84</v>
      </c>
      <c r="F55" s="2">
        <v>4133</v>
      </c>
      <c r="G55" s="2">
        <v>466</v>
      </c>
      <c r="H55" s="2">
        <v>327</v>
      </c>
      <c r="I55" s="7">
        <v>24798</v>
      </c>
      <c r="J55" s="12">
        <f t="shared" si="2"/>
        <v>0.19864505202032423</v>
      </c>
      <c r="K55" s="7">
        <v>24620</v>
      </c>
      <c r="L55" s="2">
        <v>176</v>
      </c>
      <c r="M55" s="2" t="s">
        <v>61</v>
      </c>
      <c r="N55" t="s">
        <v>29</v>
      </c>
      <c r="O55" s="2" t="s">
        <v>24</v>
      </c>
      <c r="P55">
        <f t="shared" si="1"/>
        <v>4926</v>
      </c>
    </row>
    <row r="56" spans="1:16" ht="15.75" customHeight="1" x14ac:dyDescent="0.25">
      <c r="A56" s="2" t="s">
        <v>407</v>
      </c>
      <c r="B56" s="2" t="s">
        <v>13</v>
      </c>
      <c r="C56" s="4" t="s">
        <v>408</v>
      </c>
      <c r="D56" s="144" t="s">
        <v>51</v>
      </c>
      <c r="E56" s="2" t="s">
        <v>131</v>
      </c>
      <c r="F56" s="2">
        <v>1048</v>
      </c>
      <c r="G56" s="2">
        <v>374</v>
      </c>
      <c r="H56" s="2">
        <v>450</v>
      </c>
      <c r="I56" s="7">
        <v>9432</v>
      </c>
      <c r="J56" s="12">
        <f t="shared" si="2"/>
        <v>0.19847328244274809</v>
      </c>
      <c r="K56" s="7">
        <v>8882</v>
      </c>
      <c r="L56" s="2">
        <v>158</v>
      </c>
      <c r="M56" s="2" t="s">
        <v>36</v>
      </c>
      <c r="N56" t="s">
        <v>61</v>
      </c>
      <c r="O56" s="2" t="s">
        <v>37</v>
      </c>
      <c r="P56">
        <f t="shared" si="1"/>
        <v>1872</v>
      </c>
    </row>
    <row r="57" spans="1:16" ht="15.75" customHeight="1" x14ac:dyDescent="0.25">
      <c r="A57" s="2" t="s">
        <v>332</v>
      </c>
      <c r="B57" s="2" t="s">
        <v>42</v>
      </c>
      <c r="C57" s="4" t="s">
        <v>333</v>
      </c>
      <c r="D57" s="144" t="s">
        <v>51</v>
      </c>
      <c r="E57" s="2" t="s">
        <v>58</v>
      </c>
      <c r="F57" s="2">
        <v>4804</v>
      </c>
      <c r="G57" s="2">
        <v>550</v>
      </c>
      <c r="H57" s="2">
        <v>270</v>
      </c>
      <c r="I57" s="7">
        <v>28824</v>
      </c>
      <c r="J57" s="12">
        <f t="shared" si="2"/>
        <v>0.19511518179295032</v>
      </c>
      <c r="K57" s="7">
        <v>28370</v>
      </c>
      <c r="L57" s="2">
        <v>47</v>
      </c>
      <c r="M57" s="2" t="s">
        <v>61</v>
      </c>
      <c r="N57" t="s">
        <v>29</v>
      </c>
      <c r="O57" s="2" t="s">
        <v>30</v>
      </c>
      <c r="P57">
        <f t="shared" si="1"/>
        <v>5624</v>
      </c>
    </row>
    <row r="58" spans="1:16" ht="15.75" customHeight="1" x14ac:dyDescent="0.25">
      <c r="A58" s="2" t="s">
        <v>543</v>
      </c>
      <c r="B58" s="2" t="s">
        <v>26</v>
      </c>
      <c r="C58" s="4" t="s">
        <v>544</v>
      </c>
      <c r="D58" s="144" t="s">
        <v>73</v>
      </c>
      <c r="E58" s="2" t="s">
        <v>218</v>
      </c>
      <c r="F58" s="2">
        <v>3389</v>
      </c>
      <c r="G58" s="2">
        <v>344</v>
      </c>
      <c r="H58" s="2">
        <v>229</v>
      </c>
      <c r="I58" s="7">
        <v>20334</v>
      </c>
      <c r="J58" s="12">
        <f t="shared" si="2"/>
        <v>0.19484607062063539</v>
      </c>
      <c r="K58" s="7">
        <v>19443</v>
      </c>
      <c r="L58" s="2">
        <v>228</v>
      </c>
      <c r="M58" s="2" t="s">
        <v>29</v>
      </c>
      <c r="N58" t="s">
        <v>36</v>
      </c>
      <c r="O58" s="2" t="s">
        <v>18</v>
      </c>
      <c r="P58">
        <f t="shared" si="1"/>
        <v>3962</v>
      </c>
    </row>
    <row r="59" spans="1:16" ht="15.75" customHeight="1" x14ac:dyDescent="0.25">
      <c r="A59" s="2" t="s">
        <v>188</v>
      </c>
      <c r="B59" s="2" t="s">
        <v>32</v>
      </c>
      <c r="C59" s="4" t="s">
        <v>189</v>
      </c>
      <c r="D59" s="144" t="s">
        <v>34</v>
      </c>
      <c r="E59" s="2" t="s">
        <v>35</v>
      </c>
      <c r="F59" s="2">
        <v>2610</v>
      </c>
      <c r="G59" s="2">
        <v>126</v>
      </c>
      <c r="H59" s="2">
        <v>288</v>
      </c>
      <c r="I59" s="7">
        <v>15660</v>
      </c>
      <c r="J59" s="12">
        <f t="shared" si="2"/>
        <v>0.19310344827586207</v>
      </c>
      <c r="K59" s="7">
        <v>15145</v>
      </c>
      <c r="L59" s="2">
        <v>73</v>
      </c>
      <c r="M59" s="2" t="s">
        <v>29</v>
      </c>
      <c r="N59" t="s">
        <v>609</v>
      </c>
      <c r="O59" s="2" t="s">
        <v>37</v>
      </c>
      <c r="P59">
        <f t="shared" si="1"/>
        <v>3024</v>
      </c>
    </row>
    <row r="60" spans="1:16" ht="15.75" customHeight="1" x14ac:dyDescent="0.25">
      <c r="A60" s="2" t="s">
        <v>221</v>
      </c>
      <c r="B60" s="2" t="s">
        <v>32</v>
      </c>
      <c r="C60" s="4" t="s">
        <v>122</v>
      </c>
      <c r="D60" s="144" t="s">
        <v>51</v>
      </c>
      <c r="E60" s="2" t="s">
        <v>214</v>
      </c>
      <c r="F60" s="2">
        <v>4177</v>
      </c>
      <c r="G60" s="2">
        <v>569</v>
      </c>
      <c r="H60" s="2">
        <v>55</v>
      </c>
      <c r="I60" s="7">
        <v>25062</v>
      </c>
      <c r="J60" s="12">
        <f t="shared" si="2"/>
        <v>0.19156491900087783</v>
      </c>
      <c r="K60" s="7">
        <v>24847</v>
      </c>
      <c r="L60" s="2">
        <v>230</v>
      </c>
      <c r="M60" s="2" t="s">
        <v>36</v>
      </c>
      <c r="N60" t="s">
        <v>61</v>
      </c>
      <c r="P60">
        <f t="shared" si="1"/>
        <v>4801</v>
      </c>
    </row>
    <row r="61" spans="1:16" ht="15.75" customHeight="1" x14ac:dyDescent="0.25">
      <c r="A61" s="2" t="s">
        <v>113</v>
      </c>
      <c r="B61" s="2" t="s">
        <v>13</v>
      </c>
      <c r="C61" s="4" t="s">
        <v>114</v>
      </c>
      <c r="D61" s="144" t="s">
        <v>44</v>
      </c>
      <c r="E61" s="2" t="s">
        <v>48</v>
      </c>
      <c r="F61" s="2">
        <v>2278</v>
      </c>
      <c r="G61" s="2">
        <v>10</v>
      </c>
      <c r="H61" s="2">
        <v>321</v>
      </c>
      <c r="I61" s="7">
        <v>13668</v>
      </c>
      <c r="J61" s="12">
        <f t="shared" si="2"/>
        <v>0.19088381621305239</v>
      </c>
      <c r="K61" s="7">
        <v>12676</v>
      </c>
      <c r="L61" s="2">
        <v>275</v>
      </c>
      <c r="M61" s="2" t="s">
        <v>174</v>
      </c>
      <c r="N61" t="s">
        <v>36</v>
      </c>
      <c r="O61" s="2" t="s">
        <v>30</v>
      </c>
      <c r="P61">
        <f t="shared" si="1"/>
        <v>2609</v>
      </c>
    </row>
    <row r="62" spans="1:16" ht="15.75" customHeight="1" x14ac:dyDescent="0.25">
      <c r="A62" s="2" t="s">
        <v>438</v>
      </c>
      <c r="B62" s="2" t="s">
        <v>42</v>
      </c>
      <c r="C62" s="4" t="s">
        <v>253</v>
      </c>
      <c r="D62" s="144" t="s">
        <v>44</v>
      </c>
      <c r="E62" s="2" t="s">
        <v>45</v>
      </c>
      <c r="F62" s="2">
        <v>1869</v>
      </c>
      <c r="G62" s="2">
        <v>453</v>
      </c>
      <c r="H62" s="2">
        <v>490</v>
      </c>
      <c r="I62" s="7">
        <v>14952</v>
      </c>
      <c r="J62" s="12">
        <f t="shared" si="2"/>
        <v>0.18806848582129482</v>
      </c>
      <c r="K62" s="7">
        <v>14309</v>
      </c>
      <c r="L62" s="2">
        <v>275</v>
      </c>
      <c r="M62" s="2" t="s">
        <v>29</v>
      </c>
      <c r="N62" t="s">
        <v>61</v>
      </c>
      <c r="O62" s="2" t="s">
        <v>18</v>
      </c>
      <c r="P62">
        <f t="shared" si="1"/>
        <v>2812</v>
      </c>
    </row>
    <row r="63" spans="1:16" ht="15.75" customHeight="1" x14ac:dyDescent="0.25">
      <c r="A63" s="2" t="s">
        <v>428</v>
      </c>
      <c r="B63" s="2" t="s">
        <v>13</v>
      </c>
      <c r="C63" s="4" t="s">
        <v>429</v>
      </c>
      <c r="D63" s="144" t="s">
        <v>44</v>
      </c>
      <c r="E63" s="2" t="s">
        <v>48</v>
      </c>
      <c r="F63" s="2">
        <v>2120</v>
      </c>
      <c r="G63" s="2">
        <v>38</v>
      </c>
      <c r="H63" s="2">
        <v>212</v>
      </c>
      <c r="I63" s="7">
        <v>12720</v>
      </c>
      <c r="J63" s="12">
        <f t="shared" si="2"/>
        <v>0.18632075471698112</v>
      </c>
      <c r="K63" s="7">
        <v>12564</v>
      </c>
      <c r="L63" s="2">
        <v>21</v>
      </c>
      <c r="M63" s="2" t="s">
        <v>29</v>
      </c>
      <c r="N63" t="s">
        <v>29</v>
      </c>
      <c r="O63" s="2" t="s">
        <v>30</v>
      </c>
      <c r="P63">
        <f t="shared" si="1"/>
        <v>2370</v>
      </c>
    </row>
    <row r="64" spans="1:16" ht="15.75" customHeight="1" x14ac:dyDescent="0.25">
      <c r="A64" s="2" t="s">
        <v>473</v>
      </c>
      <c r="B64" s="2" t="s">
        <v>42</v>
      </c>
      <c r="C64" s="4" t="s">
        <v>227</v>
      </c>
      <c r="D64" s="144" t="s">
        <v>15</v>
      </c>
      <c r="E64" s="2" t="s">
        <v>64</v>
      </c>
      <c r="F64" s="2">
        <v>4767</v>
      </c>
      <c r="G64" s="2">
        <v>190</v>
      </c>
      <c r="H64" s="2">
        <v>340</v>
      </c>
      <c r="I64" s="7">
        <v>28602</v>
      </c>
      <c r="J64" s="12">
        <f t="shared" si="2"/>
        <v>0.18519683938186141</v>
      </c>
      <c r="K64" s="7">
        <v>28044</v>
      </c>
      <c r="L64" s="2">
        <v>210</v>
      </c>
      <c r="M64" s="2" t="s">
        <v>61</v>
      </c>
      <c r="N64" t="s">
        <v>29</v>
      </c>
      <c r="O64" s="2" t="s">
        <v>30</v>
      </c>
      <c r="P64">
        <f t="shared" si="1"/>
        <v>5297</v>
      </c>
    </row>
    <row r="65" spans="1:16" ht="15.75" customHeight="1" x14ac:dyDescent="0.25">
      <c r="A65" s="2" t="s">
        <v>132</v>
      </c>
      <c r="B65" s="2" t="s">
        <v>32</v>
      </c>
      <c r="C65" s="4" t="s">
        <v>133</v>
      </c>
      <c r="D65" s="144" t="s">
        <v>15</v>
      </c>
      <c r="E65" s="2" t="s">
        <v>81</v>
      </c>
      <c r="F65" s="2">
        <v>456</v>
      </c>
      <c r="G65" s="2">
        <v>629</v>
      </c>
      <c r="H65" s="2">
        <v>428</v>
      </c>
      <c r="I65" s="7">
        <v>8208</v>
      </c>
      <c r="J65" s="12">
        <f t="shared" si="2"/>
        <v>0.18433235867446393</v>
      </c>
      <c r="K65" s="7">
        <v>7377</v>
      </c>
      <c r="L65" s="2">
        <v>205</v>
      </c>
      <c r="M65" s="2" t="s">
        <v>61</v>
      </c>
      <c r="N65" t="s">
        <v>36</v>
      </c>
      <c r="O65" s="2" t="s">
        <v>30</v>
      </c>
      <c r="P65">
        <f t="shared" si="1"/>
        <v>1513</v>
      </c>
    </row>
    <row r="66" spans="1:16" ht="15.75" customHeight="1" x14ac:dyDescent="0.25">
      <c r="A66" s="2" t="s">
        <v>556</v>
      </c>
      <c r="B66" s="2" t="s">
        <v>42</v>
      </c>
      <c r="C66" s="4" t="s">
        <v>557</v>
      </c>
      <c r="D66" s="144" t="s">
        <v>44</v>
      </c>
      <c r="E66" s="2" t="s">
        <v>45</v>
      </c>
      <c r="F66" s="2">
        <v>4731</v>
      </c>
      <c r="G66" s="2">
        <v>173</v>
      </c>
      <c r="H66" s="2">
        <v>276</v>
      </c>
      <c r="I66" s="7">
        <v>28386</v>
      </c>
      <c r="J66" s="12">
        <f t="shared" ref="J66:J97" si="3">(F66+G66+H66)/I66</f>
        <v>0.18248432325794406</v>
      </c>
      <c r="K66" s="7">
        <v>28185</v>
      </c>
      <c r="L66" s="2">
        <v>89</v>
      </c>
      <c r="M66" s="2" t="s">
        <v>36</v>
      </c>
      <c r="N66" t="s">
        <v>36</v>
      </c>
      <c r="P66">
        <f t="shared" si="1"/>
        <v>5180</v>
      </c>
    </row>
    <row r="67" spans="1:16" ht="15.75" customHeight="1" x14ac:dyDescent="0.25">
      <c r="A67" s="2" t="s">
        <v>41</v>
      </c>
      <c r="B67" s="2" t="s">
        <v>42</v>
      </c>
      <c r="C67" s="4" t="s">
        <v>43</v>
      </c>
      <c r="D67" s="144" t="s">
        <v>44</v>
      </c>
      <c r="E67" s="2" t="s">
        <v>45</v>
      </c>
      <c r="F67" s="2">
        <v>2945</v>
      </c>
      <c r="G67" s="2">
        <v>930</v>
      </c>
      <c r="H67" s="2">
        <v>355</v>
      </c>
      <c r="I67" s="7">
        <v>23560</v>
      </c>
      <c r="J67" s="12">
        <f t="shared" si="3"/>
        <v>0.17954159592529711</v>
      </c>
      <c r="K67" s="7">
        <v>23275</v>
      </c>
      <c r="L67" s="2">
        <v>256</v>
      </c>
      <c r="M67" s="2" t="s">
        <v>36</v>
      </c>
      <c r="N67" t="s">
        <v>29</v>
      </c>
      <c r="O67" s="2" t="s">
        <v>18</v>
      </c>
      <c r="P67">
        <f t="shared" ref="P67:P130" si="4">F67+G67+H67</f>
        <v>4230</v>
      </c>
    </row>
    <row r="68" spans="1:16" ht="15.75" customHeight="1" x14ac:dyDescent="0.25">
      <c r="A68" s="2" t="s">
        <v>334</v>
      </c>
      <c r="B68" s="2" t="s">
        <v>13</v>
      </c>
      <c r="C68" s="4" t="s">
        <v>335</v>
      </c>
      <c r="D68" s="144" t="s">
        <v>73</v>
      </c>
      <c r="E68" s="2" t="s">
        <v>144</v>
      </c>
      <c r="F68" s="2">
        <v>754</v>
      </c>
      <c r="G68" s="2">
        <v>197</v>
      </c>
      <c r="H68" s="2">
        <v>257</v>
      </c>
      <c r="I68" s="7">
        <v>6786</v>
      </c>
      <c r="J68" s="12">
        <f t="shared" si="3"/>
        <v>0.17801355732390214</v>
      </c>
      <c r="K68" s="7">
        <v>6221</v>
      </c>
      <c r="L68" s="2">
        <v>212</v>
      </c>
      <c r="M68" s="2" t="s">
        <v>36</v>
      </c>
      <c r="N68" t="s">
        <v>608</v>
      </c>
      <c r="O68" s="2" t="s">
        <v>30</v>
      </c>
      <c r="P68">
        <f t="shared" si="4"/>
        <v>1208</v>
      </c>
    </row>
    <row r="69" spans="1:16" ht="15.75" customHeight="1" x14ac:dyDescent="0.25">
      <c r="A69" s="2" t="s">
        <v>123</v>
      </c>
      <c r="B69" s="2" t="s">
        <v>42</v>
      </c>
      <c r="C69" s="4" t="s">
        <v>124</v>
      </c>
      <c r="D69" s="144" t="s">
        <v>44</v>
      </c>
      <c r="E69" s="2" t="s">
        <v>45</v>
      </c>
      <c r="F69" s="2">
        <v>3024</v>
      </c>
      <c r="G69" s="2">
        <v>925</v>
      </c>
      <c r="H69" s="2">
        <v>350</v>
      </c>
      <c r="I69" s="7">
        <v>24192</v>
      </c>
      <c r="J69" s="12">
        <f t="shared" si="3"/>
        <v>0.17770337301587302</v>
      </c>
      <c r="K69" s="7">
        <v>23518</v>
      </c>
      <c r="L69" s="2">
        <v>36</v>
      </c>
      <c r="M69" s="2" t="s">
        <v>36</v>
      </c>
      <c r="N69" t="s">
        <v>29</v>
      </c>
      <c r="P69">
        <f t="shared" si="4"/>
        <v>4299</v>
      </c>
    </row>
    <row r="70" spans="1:16" ht="15.75" customHeight="1" x14ac:dyDescent="0.25">
      <c r="A70" s="2" t="s">
        <v>471</v>
      </c>
      <c r="B70" s="2" t="s">
        <v>42</v>
      </c>
      <c r="C70" s="4" t="s">
        <v>472</v>
      </c>
      <c r="D70" s="144" t="s">
        <v>34</v>
      </c>
      <c r="E70" s="2" t="s">
        <v>70</v>
      </c>
      <c r="F70" s="2">
        <v>4321</v>
      </c>
      <c r="G70" s="2">
        <v>874</v>
      </c>
      <c r="H70" s="2">
        <v>172</v>
      </c>
      <c r="I70" s="7">
        <v>30247</v>
      </c>
      <c r="J70" s="12">
        <f t="shared" si="3"/>
        <v>0.17743908486792079</v>
      </c>
      <c r="K70" s="7">
        <v>29254</v>
      </c>
      <c r="L70" s="2">
        <v>122</v>
      </c>
      <c r="M70" s="2" t="s">
        <v>61</v>
      </c>
      <c r="N70" t="s">
        <v>29</v>
      </c>
      <c r="O70" s="2" t="s">
        <v>30</v>
      </c>
      <c r="P70">
        <f t="shared" si="4"/>
        <v>5367</v>
      </c>
    </row>
    <row r="71" spans="1:16" ht="15.75" customHeight="1" x14ac:dyDescent="0.25">
      <c r="A71" s="2" t="s">
        <v>270</v>
      </c>
      <c r="B71" s="2" t="s">
        <v>13</v>
      </c>
      <c r="C71" s="4" t="s">
        <v>271</v>
      </c>
      <c r="D71" s="144" t="s">
        <v>34</v>
      </c>
      <c r="E71" s="2" t="s">
        <v>148</v>
      </c>
      <c r="F71" s="2">
        <v>1957</v>
      </c>
      <c r="G71" s="2">
        <v>877</v>
      </c>
      <c r="H71" s="2">
        <v>238</v>
      </c>
      <c r="I71" s="7">
        <v>17613</v>
      </c>
      <c r="J71" s="12">
        <f t="shared" si="3"/>
        <v>0.17441662408448305</v>
      </c>
      <c r="K71" s="7">
        <v>16865</v>
      </c>
      <c r="L71" s="2">
        <v>297</v>
      </c>
      <c r="M71" s="2" t="s">
        <v>29</v>
      </c>
      <c r="N71" t="s">
        <v>61</v>
      </c>
      <c r="P71">
        <f t="shared" si="4"/>
        <v>3072</v>
      </c>
    </row>
    <row r="72" spans="1:16" ht="15.75" customHeight="1" x14ac:dyDescent="0.25">
      <c r="A72" s="2" t="s">
        <v>296</v>
      </c>
      <c r="B72" s="2" t="s">
        <v>13</v>
      </c>
      <c r="C72" s="4" t="s">
        <v>63</v>
      </c>
      <c r="D72" s="144" t="s">
        <v>21</v>
      </c>
      <c r="E72" s="2" t="s">
        <v>22</v>
      </c>
      <c r="F72" s="2">
        <v>2147</v>
      </c>
      <c r="G72" s="2">
        <v>430</v>
      </c>
      <c r="H72" s="2">
        <v>393</v>
      </c>
      <c r="I72" s="7">
        <v>17176</v>
      </c>
      <c r="J72" s="12">
        <f t="shared" si="3"/>
        <v>0.17291569632044715</v>
      </c>
      <c r="K72" s="7">
        <v>16483</v>
      </c>
      <c r="L72" s="2">
        <v>170</v>
      </c>
      <c r="M72" s="2" t="s">
        <v>29</v>
      </c>
      <c r="N72" t="s">
        <v>61</v>
      </c>
      <c r="O72" s="2" t="s">
        <v>24</v>
      </c>
      <c r="P72">
        <f t="shared" si="4"/>
        <v>2970</v>
      </c>
    </row>
    <row r="73" spans="1:16" ht="15.75" customHeight="1" x14ac:dyDescent="0.25">
      <c r="A73" s="2" t="s">
        <v>104</v>
      </c>
      <c r="B73" s="2" t="s">
        <v>32</v>
      </c>
      <c r="C73" s="4" t="s">
        <v>105</v>
      </c>
      <c r="D73" s="144" t="s">
        <v>73</v>
      </c>
      <c r="E73" s="2" t="s">
        <v>84</v>
      </c>
      <c r="F73" s="2">
        <v>432</v>
      </c>
      <c r="G73" s="2">
        <v>624</v>
      </c>
      <c r="H73" s="2">
        <v>123</v>
      </c>
      <c r="I73" s="7">
        <v>6912</v>
      </c>
      <c r="J73" s="12">
        <f t="shared" si="3"/>
        <v>0.17057291666666666</v>
      </c>
      <c r="K73" s="7">
        <v>6259</v>
      </c>
      <c r="L73" s="2">
        <v>79</v>
      </c>
      <c r="M73" s="2" t="s">
        <v>36</v>
      </c>
      <c r="N73" t="s">
        <v>36</v>
      </c>
      <c r="O73" s="2" t="s">
        <v>24</v>
      </c>
      <c r="P73">
        <f t="shared" si="4"/>
        <v>1179</v>
      </c>
    </row>
    <row r="74" spans="1:16" ht="15.75" customHeight="1" x14ac:dyDescent="0.25">
      <c r="A74" s="2" t="s">
        <v>142</v>
      </c>
      <c r="B74" s="2" t="s">
        <v>13</v>
      </c>
      <c r="C74" s="4" t="s">
        <v>143</v>
      </c>
      <c r="D74" s="144" t="s">
        <v>73</v>
      </c>
      <c r="E74" s="2" t="s">
        <v>144</v>
      </c>
      <c r="F74" s="2">
        <v>1108</v>
      </c>
      <c r="G74" s="2">
        <v>177</v>
      </c>
      <c r="H74" s="2">
        <v>212</v>
      </c>
      <c r="I74" s="7">
        <v>8864</v>
      </c>
      <c r="J74" s="12">
        <f t="shared" si="3"/>
        <v>0.16888537906137185</v>
      </c>
      <c r="K74" s="7">
        <v>8710</v>
      </c>
      <c r="L74" s="2">
        <v>97</v>
      </c>
      <c r="M74" s="2" t="s">
        <v>61</v>
      </c>
      <c r="N74" t="s">
        <v>36</v>
      </c>
      <c r="O74" s="2" t="s">
        <v>37</v>
      </c>
      <c r="P74">
        <f t="shared" si="4"/>
        <v>1497</v>
      </c>
    </row>
    <row r="75" spans="1:16" ht="15.75" customHeight="1" x14ac:dyDescent="0.25">
      <c r="A75" s="2" t="s">
        <v>228</v>
      </c>
      <c r="B75" s="2" t="s">
        <v>13</v>
      </c>
      <c r="C75" s="4" t="s">
        <v>229</v>
      </c>
      <c r="D75" s="144" t="s">
        <v>51</v>
      </c>
      <c r="E75" s="2" t="s">
        <v>131</v>
      </c>
      <c r="F75" s="2">
        <v>2214</v>
      </c>
      <c r="G75" s="2">
        <v>249</v>
      </c>
      <c r="H75" s="2">
        <v>152</v>
      </c>
      <c r="I75" s="7">
        <v>15498</v>
      </c>
      <c r="J75" s="12">
        <f t="shared" si="3"/>
        <v>0.16873144921925409</v>
      </c>
      <c r="K75" s="7">
        <v>14800</v>
      </c>
      <c r="L75" s="2">
        <v>180</v>
      </c>
      <c r="M75" s="2" t="s">
        <v>29</v>
      </c>
      <c r="N75" t="s">
        <v>36</v>
      </c>
      <c r="O75" s="2" t="s">
        <v>30</v>
      </c>
      <c r="P75">
        <f t="shared" si="4"/>
        <v>2615</v>
      </c>
    </row>
    <row r="76" spans="1:16" ht="15.75" customHeight="1" x14ac:dyDescent="0.25">
      <c r="A76" s="2" t="s">
        <v>237</v>
      </c>
      <c r="B76" s="2" t="s">
        <v>32</v>
      </c>
      <c r="C76" s="4" t="s">
        <v>204</v>
      </c>
      <c r="D76" s="144" t="s">
        <v>51</v>
      </c>
      <c r="E76" s="2" t="s">
        <v>214</v>
      </c>
      <c r="F76" s="2">
        <v>2647</v>
      </c>
      <c r="G76" s="2">
        <v>304</v>
      </c>
      <c r="H76" s="2">
        <v>170</v>
      </c>
      <c r="I76" s="7">
        <v>18529</v>
      </c>
      <c r="J76" s="12">
        <f t="shared" si="3"/>
        <v>0.16843866371633656</v>
      </c>
      <c r="K76" s="7">
        <v>17841</v>
      </c>
      <c r="L76" s="2">
        <v>46</v>
      </c>
      <c r="M76" s="2" t="s">
        <v>29</v>
      </c>
      <c r="N76" t="s">
        <v>36</v>
      </c>
      <c r="O76" s="2" t="s">
        <v>37</v>
      </c>
      <c r="P76">
        <f t="shared" si="4"/>
        <v>3121</v>
      </c>
    </row>
    <row r="77" spans="1:16" ht="15.75" customHeight="1" x14ac:dyDescent="0.25">
      <c r="A77" s="2" t="s">
        <v>278</v>
      </c>
      <c r="B77" s="2" t="s">
        <v>26</v>
      </c>
      <c r="C77" s="4" t="s">
        <v>279</v>
      </c>
      <c r="D77" s="144" t="s">
        <v>15</v>
      </c>
      <c r="E77" s="2" t="s">
        <v>28</v>
      </c>
      <c r="F77" s="2">
        <v>3704</v>
      </c>
      <c r="G77" s="2">
        <v>186</v>
      </c>
      <c r="H77" s="2">
        <v>458</v>
      </c>
      <c r="I77" s="7">
        <v>25928</v>
      </c>
      <c r="J77" s="12">
        <f t="shared" si="3"/>
        <v>0.16769515581610614</v>
      </c>
      <c r="K77" s="7">
        <v>25081</v>
      </c>
      <c r="L77" s="2">
        <v>131</v>
      </c>
      <c r="M77" s="2" t="s">
        <v>29</v>
      </c>
      <c r="N77" t="s">
        <v>61</v>
      </c>
      <c r="O77" s="2" t="s">
        <v>37</v>
      </c>
      <c r="P77">
        <f t="shared" si="4"/>
        <v>4348</v>
      </c>
    </row>
    <row r="78" spans="1:16" ht="15.75" customHeight="1" x14ac:dyDescent="0.25">
      <c r="A78" s="2" t="s">
        <v>527</v>
      </c>
      <c r="B78" s="2" t="s">
        <v>42</v>
      </c>
      <c r="C78" s="4" t="s">
        <v>500</v>
      </c>
      <c r="D78" s="144" t="s">
        <v>15</v>
      </c>
      <c r="E78" s="2" t="s">
        <v>64</v>
      </c>
      <c r="F78" s="2">
        <v>1741</v>
      </c>
      <c r="G78" s="2">
        <v>831</v>
      </c>
      <c r="H78" s="2">
        <v>345</v>
      </c>
      <c r="I78" s="7">
        <v>17410</v>
      </c>
      <c r="J78" s="12">
        <f t="shared" si="3"/>
        <v>0.16754738655944859</v>
      </c>
      <c r="K78" s="7">
        <v>16844</v>
      </c>
      <c r="L78" s="2">
        <v>58</v>
      </c>
      <c r="M78" s="2" t="s">
        <v>29</v>
      </c>
      <c r="N78" t="s">
        <v>29</v>
      </c>
      <c r="P78">
        <f t="shared" si="4"/>
        <v>2917</v>
      </c>
    </row>
    <row r="79" spans="1:16" ht="15.75" customHeight="1" x14ac:dyDescent="0.25">
      <c r="A79" s="2" t="s">
        <v>264</v>
      </c>
      <c r="B79" s="2" t="s">
        <v>13</v>
      </c>
      <c r="C79" s="4" t="s">
        <v>265</v>
      </c>
      <c r="D79" s="144" t="s">
        <v>34</v>
      </c>
      <c r="E79" s="2" t="s">
        <v>148</v>
      </c>
      <c r="F79" s="2">
        <v>3649</v>
      </c>
      <c r="G79" s="2">
        <v>215</v>
      </c>
      <c r="H79" s="2">
        <v>413</v>
      </c>
      <c r="I79" s="7">
        <v>25543</v>
      </c>
      <c r="J79" s="12">
        <f t="shared" si="3"/>
        <v>0.16744313510550835</v>
      </c>
      <c r="K79" s="7">
        <v>24963</v>
      </c>
      <c r="L79" s="2">
        <v>167</v>
      </c>
      <c r="M79" s="2" t="s">
        <v>61</v>
      </c>
      <c r="N79" t="s">
        <v>29</v>
      </c>
      <c r="O79" s="2" t="s">
        <v>37</v>
      </c>
      <c r="P79">
        <f t="shared" si="4"/>
        <v>4277</v>
      </c>
    </row>
    <row r="80" spans="1:16" ht="15.75" customHeight="1" x14ac:dyDescent="0.25">
      <c r="A80" s="2" t="s">
        <v>145</v>
      </c>
      <c r="B80" s="2" t="s">
        <v>13</v>
      </c>
      <c r="C80" s="4" t="s">
        <v>146</v>
      </c>
      <c r="D80" s="144" t="s">
        <v>44</v>
      </c>
      <c r="E80" s="2" t="s">
        <v>48</v>
      </c>
      <c r="F80" s="2">
        <v>2704</v>
      </c>
      <c r="G80" s="2">
        <v>752</v>
      </c>
      <c r="H80" s="2">
        <v>153</v>
      </c>
      <c r="I80" s="7">
        <v>21632</v>
      </c>
      <c r="J80" s="12">
        <f t="shared" si="3"/>
        <v>0.16683616863905326</v>
      </c>
      <c r="K80" s="7">
        <v>20792</v>
      </c>
      <c r="L80" s="2">
        <v>127</v>
      </c>
      <c r="M80" s="2" t="s">
        <v>36</v>
      </c>
      <c r="N80" t="s">
        <v>36</v>
      </c>
      <c r="O80" s="2" t="s">
        <v>24</v>
      </c>
      <c r="P80">
        <f t="shared" si="4"/>
        <v>3609</v>
      </c>
    </row>
    <row r="81" spans="1:16" ht="15.75" customHeight="1" x14ac:dyDescent="0.25">
      <c r="A81" s="2" t="s">
        <v>558</v>
      </c>
      <c r="B81" s="2" t="s">
        <v>13</v>
      </c>
      <c r="C81" s="4" t="s">
        <v>435</v>
      </c>
      <c r="D81" s="144" t="s">
        <v>51</v>
      </c>
      <c r="E81" s="2" t="s">
        <v>131</v>
      </c>
      <c r="F81" s="2">
        <v>1952</v>
      </c>
      <c r="G81" s="2">
        <v>344</v>
      </c>
      <c r="H81" s="2">
        <v>287</v>
      </c>
      <c r="I81" s="7">
        <v>15616</v>
      </c>
      <c r="J81" s="12">
        <f t="shared" si="3"/>
        <v>0.16540727459016394</v>
      </c>
      <c r="K81" s="7">
        <v>15403</v>
      </c>
      <c r="L81" s="2">
        <v>235</v>
      </c>
      <c r="M81" s="2" t="s">
        <v>61</v>
      </c>
      <c r="N81" t="s">
        <v>61</v>
      </c>
      <c r="P81">
        <f t="shared" si="4"/>
        <v>2583</v>
      </c>
    </row>
    <row r="82" spans="1:16" ht="15.75" customHeight="1" x14ac:dyDescent="0.25">
      <c r="A82" s="2" t="s">
        <v>160</v>
      </c>
      <c r="B82" s="2" t="s">
        <v>26</v>
      </c>
      <c r="C82" s="4" t="s">
        <v>161</v>
      </c>
      <c r="D82" s="144" t="s">
        <v>44</v>
      </c>
      <c r="E82" s="2" t="s">
        <v>67</v>
      </c>
      <c r="F82" s="2">
        <v>1686</v>
      </c>
      <c r="G82" s="2">
        <v>904</v>
      </c>
      <c r="H82" s="2">
        <v>472</v>
      </c>
      <c r="I82" s="7">
        <v>18546</v>
      </c>
      <c r="J82" s="12">
        <f t="shared" si="3"/>
        <v>0.16510298716704411</v>
      </c>
      <c r="K82" s="7">
        <v>18171</v>
      </c>
      <c r="L82" s="2">
        <v>52</v>
      </c>
      <c r="M82" s="2" t="s">
        <v>29</v>
      </c>
      <c r="N82" t="s">
        <v>29</v>
      </c>
      <c r="O82" s="2" t="s">
        <v>30</v>
      </c>
      <c r="P82">
        <f t="shared" si="4"/>
        <v>3062</v>
      </c>
    </row>
    <row r="83" spans="1:16" ht="15.75" customHeight="1" x14ac:dyDescent="0.25">
      <c r="A83" s="2" t="s">
        <v>172</v>
      </c>
      <c r="B83" s="2" t="s">
        <v>32</v>
      </c>
      <c r="C83" s="4" t="s">
        <v>173</v>
      </c>
      <c r="D83" s="144" t="s">
        <v>73</v>
      </c>
      <c r="E83" s="2" t="s">
        <v>84</v>
      </c>
      <c r="F83" s="2">
        <v>904</v>
      </c>
      <c r="G83" s="2">
        <v>973</v>
      </c>
      <c r="H83" s="2">
        <v>63</v>
      </c>
      <c r="I83" s="7">
        <v>11752</v>
      </c>
      <c r="J83" s="12">
        <f t="shared" si="3"/>
        <v>0.1650782845473111</v>
      </c>
      <c r="K83" s="7">
        <v>11580</v>
      </c>
      <c r="L83" s="2">
        <v>84</v>
      </c>
      <c r="M83" s="2" t="s">
        <v>215</v>
      </c>
      <c r="N83" t="s">
        <v>29</v>
      </c>
      <c r="O83" s="2" t="s">
        <v>30</v>
      </c>
      <c r="P83">
        <f t="shared" si="4"/>
        <v>1940</v>
      </c>
    </row>
    <row r="84" spans="1:16" ht="15.75" customHeight="1" x14ac:dyDescent="0.25">
      <c r="A84" s="2" t="s">
        <v>216</v>
      </c>
      <c r="B84" s="2" t="s">
        <v>26</v>
      </c>
      <c r="C84" s="4" t="s">
        <v>217</v>
      </c>
      <c r="D84" s="144" t="s">
        <v>73</v>
      </c>
      <c r="E84" s="2" t="s">
        <v>218</v>
      </c>
      <c r="F84" s="2">
        <v>1094</v>
      </c>
      <c r="G84" s="2">
        <v>472</v>
      </c>
      <c r="H84" s="2">
        <v>21</v>
      </c>
      <c r="I84" s="7">
        <v>9846</v>
      </c>
      <c r="J84" s="12">
        <f t="shared" si="3"/>
        <v>0.16118220597196831</v>
      </c>
      <c r="K84" s="7">
        <v>9609</v>
      </c>
      <c r="L84" s="2">
        <v>112</v>
      </c>
      <c r="M84" s="2" t="s">
        <v>36</v>
      </c>
      <c r="N84" t="s">
        <v>29</v>
      </c>
      <c r="P84">
        <f t="shared" si="4"/>
        <v>1587</v>
      </c>
    </row>
    <row r="85" spans="1:16" ht="15.75" customHeight="1" x14ac:dyDescent="0.25">
      <c r="A85" s="2" t="s">
        <v>310</v>
      </c>
      <c r="B85" s="2" t="s">
        <v>13</v>
      </c>
      <c r="C85" s="4" t="s">
        <v>187</v>
      </c>
      <c r="D85" s="144" t="s">
        <v>51</v>
      </c>
      <c r="E85" s="2" t="s">
        <v>131</v>
      </c>
      <c r="F85" s="2">
        <v>305</v>
      </c>
      <c r="G85" s="2">
        <v>187</v>
      </c>
      <c r="H85" s="2">
        <v>243</v>
      </c>
      <c r="I85" s="7">
        <v>4575</v>
      </c>
      <c r="J85" s="12">
        <f t="shared" si="3"/>
        <v>0.16065573770491803</v>
      </c>
      <c r="K85" s="7">
        <v>3704</v>
      </c>
      <c r="L85" s="2">
        <v>234</v>
      </c>
      <c r="M85" s="2" t="s">
        <v>61</v>
      </c>
      <c r="N85" t="s">
        <v>29</v>
      </c>
      <c r="O85" s="2" t="s">
        <v>37</v>
      </c>
      <c r="P85">
        <f t="shared" si="4"/>
        <v>735</v>
      </c>
    </row>
    <row r="86" spans="1:16" ht="15.75" customHeight="1" x14ac:dyDescent="0.25">
      <c r="A86" s="2" t="s">
        <v>441</v>
      </c>
      <c r="B86" s="2" t="s">
        <v>42</v>
      </c>
      <c r="C86" s="4" t="s">
        <v>255</v>
      </c>
      <c r="D86" s="144" t="s">
        <v>73</v>
      </c>
      <c r="E86" s="2" t="s">
        <v>74</v>
      </c>
      <c r="F86" s="2">
        <v>4453</v>
      </c>
      <c r="G86" s="2">
        <v>111</v>
      </c>
      <c r="H86" s="2">
        <v>420</v>
      </c>
      <c r="I86" s="7">
        <v>31171</v>
      </c>
      <c r="J86" s="12">
        <f t="shared" si="3"/>
        <v>0.15989220750056141</v>
      </c>
      <c r="K86" s="7">
        <v>30565</v>
      </c>
      <c r="L86" s="2">
        <v>23</v>
      </c>
      <c r="M86" s="2" t="s">
        <v>61</v>
      </c>
      <c r="N86" t="s">
        <v>61</v>
      </c>
      <c r="O86" s="2" t="s">
        <v>18</v>
      </c>
      <c r="P86">
        <f t="shared" si="4"/>
        <v>4984</v>
      </c>
    </row>
    <row r="87" spans="1:16" ht="15.75" customHeight="1" x14ac:dyDescent="0.25">
      <c r="A87" s="2" t="s">
        <v>490</v>
      </c>
      <c r="B87" s="2" t="s">
        <v>42</v>
      </c>
      <c r="C87" s="4" t="s">
        <v>363</v>
      </c>
      <c r="D87" s="144" t="s">
        <v>44</v>
      </c>
      <c r="E87" s="2" t="s">
        <v>45</v>
      </c>
      <c r="F87" s="2">
        <v>2089</v>
      </c>
      <c r="G87" s="2">
        <v>476</v>
      </c>
      <c r="H87" s="2">
        <v>69</v>
      </c>
      <c r="I87" s="7">
        <v>16712</v>
      </c>
      <c r="J87" s="12">
        <f t="shared" si="3"/>
        <v>0.15761129727142173</v>
      </c>
      <c r="K87" s="7">
        <v>16309</v>
      </c>
      <c r="L87" s="2">
        <v>64</v>
      </c>
      <c r="M87" s="2" t="s">
        <v>159</v>
      </c>
      <c r="N87" t="s">
        <v>36</v>
      </c>
      <c r="O87" s="2" t="s">
        <v>37</v>
      </c>
      <c r="P87">
        <f t="shared" si="4"/>
        <v>2634</v>
      </c>
    </row>
    <row r="88" spans="1:16" ht="15.75" customHeight="1" x14ac:dyDescent="0.25">
      <c r="A88" s="2" t="s">
        <v>156</v>
      </c>
      <c r="B88" s="2" t="s">
        <v>42</v>
      </c>
      <c r="C88" s="4" t="s">
        <v>157</v>
      </c>
      <c r="D88" s="144" t="s">
        <v>51</v>
      </c>
      <c r="E88" s="2" t="s">
        <v>58</v>
      </c>
      <c r="F88" s="2">
        <v>947</v>
      </c>
      <c r="G88" s="2">
        <v>338</v>
      </c>
      <c r="H88" s="2">
        <v>350</v>
      </c>
      <c r="I88" s="7">
        <v>10417</v>
      </c>
      <c r="J88" s="12">
        <f t="shared" si="3"/>
        <v>0.1569549774407219</v>
      </c>
      <c r="K88" s="7">
        <v>9730</v>
      </c>
      <c r="L88" s="2">
        <v>34</v>
      </c>
      <c r="M88" s="2" t="s">
        <v>61</v>
      </c>
      <c r="N88" t="s">
        <v>61</v>
      </c>
      <c r="O88" s="2" t="s">
        <v>30</v>
      </c>
      <c r="P88">
        <f t="shared" si="4"/>
        <v>1635</v>
      </c>
    </row>
    <row r="89" spans="1:16" ht="15.75" customHeight="1" x14ac:dyDescent="0.25">
      <c r="A89" s="2" t="s">
        <v>313</v>
      </c>
      <c r="B89" s="2" t="s">
        <v>42</v>
      </c>
      <c r="C89" s="4" t="s">
        <v>314</v>
      </c>
      <c r="D89" s="144" t="s">
        <v>51</v>
      </c>
      <c r="E89" s="2" t="s">
        <v>58</v>
      </c>
      <c r="F89" s="2">
        <v>2291</v>
      </c>
      <c r="G89" s="2">
        <v>78</v>
      </c>
      <c r="H89" s="2">
        <v>485</v>
      </c>
      <c r="I89" s="7">
        <v>18328</v>
      </c>
      <c r="J89" s="12">
        <f t="shared" si="3"/>
        <v>0.15571802706241816</v>
      </c>
      <c r="K89" s="7">
        <v>18101</v>
      </c>
      <c r="L89" s="2">
        <v>10</v>
      </c>
      <c r="M89" s="2" t="s">
        <v>29</v>
      </c>
      <c r="N89" t="s">
        <v>29</v>
      </c>
      <c r="O89" s="2" t="s">
        <v>37</v>
      </c>
      <c r="P89">
        <f t="shared" si="4"/>
        <v>2854</v>
      </c>
    </row>
    <row r="90" spans="1:16" ht="15.75" customHeight="1" x14ac:dyDescent="0.25">
      <c r="A90" s="2" t="s">
        <v>355</v>
      </c>
      <c r="B90" s="2" t="s">
        <v>13</v>
      </c>
      <c r="C90" s="4" t="s">
        <v>236</v>
      </c>
      <c r="D90" s="144" t="s">
        <v>21</v>
      </c>
      <c r="E90" s="2" t="s">
        <v>22</v>
      </c>
      <c r="F90" s="2">
        <v>3239</v>
      </c>
      <c r="G90" s="2">
        <v>43</v>
      </c>
      <c r="H90" s="2">
        <v>211</v>
      </c>
      <c r="I90" s="7">
        <v>22673</v>
      </c>
      <c r="J90" s="12">
        <f t="shared" si="3"/>
        <v>0.15405989502933004</v>
      </c>
      <c r="K90" s="7">
        <v>22171</v>
      </c>
      <c r="L90" s="2">
        <v>230</v>
      </c>
      <c r="M90" s="2" t="s">
        <v>36</v>
      </c>
      <c r="N90" t="s">
        <v>61</v>
      </c>
      <c r="P90">
        <f t="shared" si="4"/>
        <v>3493</v>
      </c>
    </row>
    <row r="91" spans="1:16" ht="15.75" customHeight="1" x14ac:dyDescent="0.25">
      <c r="A91" s="2" t="s">
        <v>354</v>
      </c>
      <c r="B91" s="2" t="s">
        <v>26</v>
      </c>
      <c r="C91" s="4" t="s">
        <v>91</v>
      </c>
      <c r="D91" s="144" t="s">
        <v>21</v>
      </c>
      <c r="E91" s="2" t="s">
        <v>103</v>
      </c>
      <c r="F91" s="2">
        <v>4934</v>
      </c>
      <c r="G91" s="2">
        <v>971</v>
      </c>
      <c r="H91" s="2">
        <v>156</v>
      </c>
      <c r="I91" s="7">
        <v>39472</v>
      </c>
      <c r="J91" s="12">
        <f t="shared" si="3"/>
        <v>0.15355188488042157</v>
      </c>
      <c r="K91" s="7">
        <v>39025</v>
      </c>
      <c r="L91" s="2">
        <v>169</v>
      </c>
      <c r="M91" s="2" t="s">
        <v>29</v>
      </c>
      <c r="N91" t="s">
        <v>29</v>
      </c>
      <c r="O91" s="2" t="s">
        <v>37</v>
      </c>
      <c r="P91">
        <f t="shared" si="4"/>
        <v>6061</v>
      </c>
    </row>
    <row r="92" spans="1:16" ht="15.75" customHeight="1" x14ac:dyDescent="0.25">
      <c r="A92" s="2" t="s">
        <v>507</v>
      </c>
      <c r="B92" s="2" t="s">
        <v>26</v>
      </c>
      <c r="C92" s="4" t="s">
        <v>472</v>
      </c>
      <c r="D92" s="144" t="s">
        <v>51</v>
      </c>
      <c r="E92" s="2" t="s">
        <v>52</v>
      </c>
      <c r="F92" s="2">
        <v>1206</v>
      </c>
      <c r="G92" s="2">
        <v>238</v>
      </c>
      <c r="H92" s="2">
        <v>36</v>
      </c>
      <c r="I92" s="7">
        <v>9648</v>
      </c>
      <c r="J92" s="12">
        <f t="shared" si="3"/>
        <v>0.15339966832504145</v>
      </c>
      <c r="K92" s="7">
        <v>9417</v>
      </c>
      <c r="L92" s="2">
        <v>237</v>
      </c>
      <c r="M92" s="2" t="s">
        <v>36</v>
      </c>
      <c r="N92" t="s">
        <v>608</v>
      </c>
      <c r="O92" s="2" t="s">
        <v>37</v>
      </c>
      <c r="P92">
        <f t="shared" si="4"/>
        <v>1480</v>
      </c>
    </row>
    <row r="93" spans="1:16" ht="15.75" customHeight="1" x14ac:dyDescent="0.25">
      <c r="A93" s="2" t="s">
        <v>325</v>
      </c>
      <c r="B93" s="2" t="s">
        <v>32</v>
      </c>
      <c r="C93" s="4" t="s">
        <v>167</v>
      </c>
      <c r="D93" s="144" t="s">
        <v>15</v>
      </c>
      <c r="E93" s="2" t="s">
        <v>81</v>
      </c>
      <c r="F93" s="2">
        <v>3256</v>
      </c>
      <c r="G93" s="2">
        <v>459</v>
      </c>
      <c r="H93" s="2">
        <v>266</v>
      </c>
      <c r="I93" s="7">
        <v>26048</v>
      </c>
      <c r="J93" s="12">
        <f t="shared" si="3"/>
        <v>0.15283323095823095</v>
      </c>
      <c r="K93" s="7">
        <v>25529</v>
      </c>
      <c r="L93" s="2">
        <v>143</v>
      </c>
      <c r="M93" s="2" t="s">
        <v>61</v>
      </c>
      <c r="N93" t="s">
        <v>36</v>
      </c>
      <c r="O93" s="2" t="s">
        <v>30</v>
      </c>
      <c r="P93">
        <f t="shared" si="4"/>
        <v>3981</v>
      </c>
    </row>
    <row r="94" spans="1:16" ht="15.75" customHeight="1" x14ac:dyDescent="0.25">
      <c r="A94" s="2" t="s">
        <v>31</v>
      </c>
      <c r="B94" s="2" t="s">
        <v>32</v>
      </c>
      <c r="C94" s="4" t="s">
        <v>33</v>
      </c>
      <c r="D94" s="144" t="s">
        <v>34</v>
      </c>
      <c r="E94" s="2" t="s">
        <v>35</v>
      </c>
      <c r="F94" s="2">
        <v>2404</v>
      </c>
      <c r="G94" s="2">
        <v>363</v>
      </c>
      <c r="H94" s="2">
        <v>138</v>
      </c>
      <c r="I94" s="7">
        <v>19232</v>
      </c>
      <c r="J94" s="12">
        <f t="shared" si="3"/>
        <v>0.15105033277870217</v>
      </c>
      <c r="K94" s="7">
        <v>18636</v>
      </c>
      <c r="L94" s="2">
        <v>128</v>
      </c>
      <c r="M94" s="2" t="s">
        <v>36</v>
      </c>
      <c r="N94" t="s">
        <v>61</v>
      </c>
      <c r="O94" s="2" t="s">
        <v>30</v>
      </c>
      <c r="P94">
        <f t="shared" si="4"/>
        <v>2905</v>
      </c>
    </row>
    <row r="95" spans="1:16" ht="15.75" customHeight="1" x14ac:dyDescent="0.25">
      <c r="A95" s="2" t="s">
        <v>68</v>
      </c>
      <c r="B95" s="2" t="s">
        <v>42</v>
      </c>
      <c r="C95" s="4" t="s">
        <v>69</v>
      </c>
      <c r="D95" s="144" t="s">
        <v>34</v>
      </c>
      <c r="E95" s="2" t="s">
        <v>70</v>
      </c>
      <c r="F95" s="2">
        <v>4242</v>
      </c>
      <c r="G95" s="2">
        <v>555</v>
      </c>
      <c r="H95" s="2">
        <v>131</v>
      </c>
      <c r="I95" s="7">
        <v>33936</v>
      </c>
      <c r="J95" s="12">
        <f t="shared" si="3"/>
        <v>0.14521452145214522</v>
      </c>
      <c r="K95" s="7">
        <v>33802</v>
      </c>
      <c r="L95" s="2">
        <v>265</v>
      </c>
      <c r="M95" s="2" t="s">
        <v>61</v>
      </c>
      <c r="N95" t="s">
        <v>61</v>
      </c>
      <c r="O95" s="2" t="s">
        <v>30</v>
      </c>
      <c r="P95">
        <f t="shared" si="4"/>
        <v>4928</v>
      </c>
    </row>
    <row r="96" spans="1:16" ht="15.75" customHeight="1" x14ac:dyDescent="0.25">
      <c r="A96" s="2" t="s">
        <v>397</v>
      </c>
      <c r="B96" s="2" t="s">
        <v>32</v>
      </c>
      <c r="C96" s="4" t="s">
        <v>398</v>
      </c>
      <c r="D96" s="144" t="s">
        <v>73</v>
      </c>
      <c r="E96" s="2" t="s">
        <v>84</v>
      </c>
      <c r="F96" s="2">
        <v>1176</v>
      </c>
      <c r="G96" s="2">
        <v>464</v>
      </c>
      <c r="H96" s="2">
        <v>394</v>
      </c>
      <c r="I96" s="7">
        <v>14112</v>
      </c>
      <c r="J96" s="12">
        <f t="shared" si="3"/>
        <v>0.1441326530612245</v>
      </c>
      <c r="K96" s="7">
        <v>13588</v>
      </c>
      <c r="L96" s="2">
        <v>272</v>
      </c>
      <c r="M96" s="2" t="s">
        <v>61</v>
      </c>
      <c r="N96" t="s">
        <v>36</v>
      </c>
      <c r="O96" s="2" t="s">
        <v>37</v>
      </c>
      <c r="P96">
        <f t="shared" si="4"/>
        <v>2034</v>
      </c>
    </row>
    <row r="97" spans="1:16" ht="15.75" customHeight="1" x14ac:dyDescent="0.25">
      <c r="A97" s="2" t="s">
        <v>368</v>
      </c>
      <c r="B97" s="2" t="s">
        <v>13</v>
      </c>
      <c r="C97" s="4" t="s">
        <v>369</v>
      </c>
      <c r="D97" s="144" t="s">
        <v>73</v>
      </c>
      <c r="E97" s="2" t="s">
        <v>144</v>
      </c>
      <c r="F97" s="2">
        <v>1330</v>
      </c>
      <c r="G97" s="2">
        <v>925</v>
      </c>
      <c r="H97" s="2">
        <v>35</v>
      </c>
      <c r="I97" s="7">
        <v>15960</v>
      </c>
      <c r="J97" s="12">
        <f t="shared" si="3"/>
        <v>0.14348370927318296</v>
      </c>
      <c r="K97" s="7">
        <v>15379</v>
      </c>
      <c r="L97" s="2">
        <v>229</v>
      </c>
      <c r="M97" s="2" t="s">
        <v>61</v>
      </c>
      <c r="N97" t="s">
        <v>609</v>
      </c>
      <c r="P97">
        <f t="shared" si="4"/>
        <v>2290</v>
      </c>
    </row>
    <row r="98" spans="1:16" ht="15.75" customHeight="1" x14ac:dyDescent="0.25">
      <c r="A98" s="2" t="s">
        <v>356</v>
      </c>
      <c r="B98" s="2" t="s">
        <v>13</v>
      </c>
      <c r="C98" s="4" t="s">
        <v>69</v>
      </c>
      <c r="D98" s="144" t="s">
        <v>15</v>
      </c>
      <c r="E98" s="2" t="s">
        <v>16</v>
      </c>
      <c r="F98" s="2">
        <v>1076</v>
      </c>
      <c r="G98" s="2">
        <v>313</v>
      </c>
      <c r="H98" s="2">
        <v>306</v>
      </c>
      <c r="I98" s="7">
        <v>11836</v>
      </c>
      <c r="J98" s="12">
        <f t="shared" ref="J98:J129" si="5">(F98+G98+H98)/I98</f>
        <v>0.14320716458262928</v>
      </c>
      <c r="K98" s="7">
        <v>11596</v>
      </c>
      <c r="L98" s="2">
        <v>104</v>
      </c>
      <c r="M98" s="2" t="s">
        <v>94</v>
      </c>
      <c r="N98" t="s">
        <v>61</v>
      </c>
      <c r="O98" s="2" t="s">
        <v>24</v>
      </c>
      <c r="P98">
        <f t="shared" si="4"/>
        <v>1695</v>
      </c>
    </row>
    <row r="99" spans="1:16" ht="15.75" customHeight="1" x14ac:dyDescent="0.25">
      <c r="A99" s="2" t="s">
        <v>422</v>
      </c>
      <c r="B99" s="2" t="s">
        <v>13</v>
      </c>
      <c r="C99" s="4" t="s">
        <v>423</v>
      </c>
      <c r="D99" s="144" t="s">
        <v>44</v>
      </c>
      <c r="E99" s="2" t="s">
        <v>48</v>
      </c>
      <c r="F99" s="2">
        <v>4274</v>
      </c>
      <c r="G99" s="2">
        <v>340</v>
      </c>
      <c r="H99" s="2">
        <v>281</v>
      </c>
      <c r="I99" s="7">
        <v>34192</v>
      </c>
      <c r="J99" s="12">
        <f t="shared" si="5"/>
        <v>0.14316214319138981</v>
      </c>
      <c r="K99" s="7">
        <v>33446</v>
      </c>
      <c r="L99" s="2">
        <v>129</v>
      </c>
      <c r="M99" s="2" t="s">
        <v>61</v>
      </c>
      <c r="N99" t="s">
        <v>29</v>
      </c>
      <c r="O99" s="2" t="s">
        <v>37</v>
      </c>
      <c r="P99">
        <f t="shared" si="4"/>
        <v>4895</v>
      </c>
    </row>
    <row r="100" spans="1:16" ht="15.75" customHeight="1" x14ac:dyDescent="0.25">
      <c r="A100" s="2" t="s">
        <v>175</v>
      </c>
      <c r="B100" s="2" t="s">
        <v>13</v>
      </c>
      <c r="C100" s="4" t="s">
        <v>176</v>
      </c>
      <c r="D100" s="144" t="s">
        <v>73</v>
      </c>
      <c r="E100" s="2" t="s">
        <v>144</v>
      </c>
      <c r="F100" s="2">
        <v>4886</v>
      </c>
      <c r="G100" s="2">
        <v>983</v>
      </c>
      <c r="H100" s="2">
        <v>409</v>
      </c>
      <c r="I100" s="7">
        <v>43974</v>
      </c>
      <c r="J100" s="12">
        <f t="shared" si="5"/>
        <v>0.14276618001546368</v>
      </c>
      <c r="K100" s="7">
        <v>43239</v>
      </c>
      <c r="L100" s="2">
        <v>65</v>
      </c>
      <c r="M100" s="2" t="s">
        <v>61</v>
      </c>
      <c r="N100" t="s">
        <v>36</v>
      </c>
      <c r="O100" s="2" t="s">
        <v>30</v>
      </c>
      <c r="P100">
        <f t="shared" si="4"/>
        <v>6278</v>
      </c>
    </row>
    <row r="101" spans="1:16" ht="15.75" customHeight="1" x14ac:dyDescent="0.25">
      <c r="A101" s="2" t="s">
        <v>291</v>
      </c>
      <c r="B101" s="2" t="s">
        <v>13</v>
      </c>
      <c r="C101" s="4" t="s">
        <v>292</v>
      </c>
      <c r="D101" s="144" t="s">
        <v>44</v>
      </c>
      <c r="E101" s="2" t="s">
        <v>48</v>
      </c>
      <c r="F101" s="2">
        <v>3811</v>
      </c>
      <c r="G101" s="2">
        <v>866</v>
      </c>
      <c r="H101" s="2">
        <v>216</v>
      </c>
      <c r="I101" s="7">
        <v>34299</v>
      </c>
      <c r="J101" s="12">
        <f t="shared" si="5"/>
        <v>0.14265722032712325</v>
      </c>
      <c r="K101" s="7">
        <v>34088</v>
      </c>
      <c r="L101" s="2">
        <v>233</v>
      </c>
      <c r="M101" s="2" t="s">
        <v>36</v>
      </c>
      <c r="N101" t="s">
        <v>29</v>
      </c>
      <c r="P101">
        <f t="shared" si="4"/>
        <v>4893</v>
      </c>
    </row>
    <row r="102" spans="1:16" ht="15.75" customHeight="1" x14ac:dyDescent="0.25">
      <c r="A102" s="2" t="s">
        <v>523</v>
      </c>
      <c r="B102" s="2" t="s">
        <v>32</v>
      </c>
      <c r="C102" s="4" t="s">
        <v>489</v>
      </c>
      <c r="D102" s="144" t="s">
        <v>21</v>
      </c>
      <c r="E102" s="2" t="s">
        <v>112</v>
      </c>
      <c r="F102" s="2">
        <v>4941</v>
      </c>
      <c r="G102" s="2">
        <v>414</v>
      </c>
      <c r="H102" s="2">
        <v>266</v>
      </c>
      <c r="I102" s="7">
        <v>39528</v>
      </c>
      <c r="J102" s="12">
        <f t="shared" si="5"/>
        <v>0.14220299534507186</v>
      </c>
      <c r="K102" s="7">
        <v>39154</v>
      </c>
      <c r="L102" s="2">
        <v>217</v>
      </c>
      <c r="M102" s="2" t="s">
        <v>61</v>
      </c>
      <c r="N102" t="s">
        <v>36</v>
      </c>
      <c r="O102" s="2" t="s">
        <v>30</v>
      </c>
      <c r="P102">
        <f t="shared" si="4"/>
        <v>5621</v>
      </c>
    </row>
    <row r="103" spans="1:16" ht="15.75" customHeight="1" x14ac:dyDescent="0.25">
      <c r="A103" s="2" t="s">
        <v>129</v>
      </c>
      <c r="B103" s="2" t="s">
        <v>13</v>
      </c>
      <c r="C103" s="4" t="s">
        <v>130</v>
      </c>
      <c r="D103" s="144" t="s">
        <v>51</v>
      </c>
      <c r="E103" s="2" t="s">
        <v>131</v>
      </c>
      <c r="F103" s="2">
        <v>4750</v>
      </c>
      <c r="G103" s="2">
        <v>151</v>
      </c>
      <c r="H103" s="2">
        <v>415</v>
      </c>
      <c r="I103" s="7">
        <v>38000</v>
      </c>
      <c r="J103" s="12">
        <f t="shared" si="5"/>
        <v>0.13989473684210527</v>
      </c>
      <c r="K103" s="7">
        <v>37792</v>
      </c>
      <c r="L103" s="2">
        <v>299</v>
      </c>
      <c r="M103" s="2" t="s">
        <v>36</v>
      </c>
      <c r="N103" t="s">
        <v>61</v>
      </c>
      <c r="O103" s="2" t="s">
        <v>24</v>
      </c>
      <c r="P103">
        <f t="shared" si="4"/>
        <v>5316</v>
      </c>
    </row>
    <row r="104" spans="1:16" ht="15.75" customHeight="1" x14ac:dyDescent="0.25">
      <c r="A104" s="2" t="s">
        <v>564</v>
      </c>
      <c r="B104" s="2" t="s">
        <v>42</v>
      </c>
      <c r="C104" s="4" t="s">
        <v>76</v>
      </c>
      <c r="D104" s="144" t="s">
        <v>51</v>
      </c>
      <c r="E104" s="2" t="s">
        <v>58</v>
      </c>
      <c r="F104" s="2">
        <v>2581</v>
      </c>
      <c r="G104" s="2">
        <v>517</v>
      </c>
      <c r="H104" s="2">
        <v>117</v>
      </c>
      <c r="I104" s="7">
        <v>23229</v>
      </c>
      <c r="J104" s="12">
        <f t="shared" si="5"/>
        <v>0.13840458048129492</v>
      </c>
      <c r="K104" s="7">
        <v>22331</v>
      </c>
      <c r="L104" s="2">
        <v>70</v>
      </c>
      <c r="M104" s="2" t="s">
        <v>36</v>
      </c>
      <c r="N104" t="s">
        <v>36</v>
      </c>
      <c r="O104" s="2" t="s">
        <v>24</v>
      </c>
      <c r="P104">
        <f t="shared" si="4"/>
        <v>3215</v>
      </c>
    </row>
    <row r="105" spans="1:16" ht="15.75" customHeight="1" x14ac:dyDescent="0.25">
      <c r="A105" s="2" t="s">
        <v>370</v>
      </c>
      <c r="B105" s="2" t="s">
        <v>42</v>
      </c>
      <c r="C105" s="4" t="s">
        <v>171</v>
      </c>
      <c r="D105" s="144" t="s">
        <v>21</v>
      </c>
      <c r="E105" s="2" t="s">
        <v>55</v>
      </c>
      <c r="F105" s="2">
        <v>3828</v>
      </c>
      <c r="G105" s="2">
        <v>148</v>
      </c>
      <c r="H105" s="2">
        <v>253</v>
      </c>
      <c r="I105" s="7">
        <v>30624</v>
      </c>
      <c r="J105" s="12">
        <f t="shared" si="5"/>
        <v>0.13809430512016718</v>
      </c>
      <c r="K105" s="7">
        <v>30229</v>
      </c>
      <c r="L105" s="2">
        <v>235</v>
      </c>
      <c r="M105" s="2" t="s">
        <v>29</v>
      </c>
      <c r="N105" t="s">
        <v>61</v>
      </c>
      <c r="O105" s="2" t="s">
        <v>30</v>
      </c>
      <c r="P105">
        <f t="shared" si="4"/>
        <v>4229</v>
      </c>
    </row>
    <row r="106" spans="1:16" ht="15.75" customHeight="1" x14ac:dyDescent="0.25">
      <c r="A106" s="2" t="s">
        <v>254</v>
      </c>
      <c r="B106" s="2" t="s">
        <v>26</v>
      </c>
      <c r="C106" s="4" t="s">
        <v>255</v>
      </c>
      <c r="D106" s="144" t="s">
        <v>34</v>
      </c>
      <c r="E106" s="2" t="s">
        <v>153</v>
      </c>
      <c r="F106" s="2">
        <v>3655</v>
      </c>
      <c r="G106" s="2">
        <v>568</v>
      </c>
      <c r="H106" s="2">
        <v>286</v>
      </c>
      <c r="I106" s="7">
        <v>32895</v>
      </c>
      <c r="J106" s="12">
        <f t="shared" si="5"/>
        <v>0.13707250341997265</v>
      </c>
      <c r="K106" s="7">
        <v>32015</v>
      </c>
      <c r="L106" s="2">
        <v>199</v>
      </c>
      <c r="M106" s="2" t="s">
        <v>61</v>
      </c>
      <c r="N106" t="s">
        <v>61</v>
      </c>
      <c r="O106" s="2" t="s">
        <v>18</v>
      </c>
      <c r="P106">
        <f t="shared" si="4"/>
        <v>4509</v>
      </c>
    </row>
    <row r="107" spans="1:16" ht="15.75" customHeight="1" x14ac:dyDescent="0.25">
      <c r="A107" s="2" t="s">
        <v>402</v>
      </c>
      <c r="B107" s="2" t="s">
        <v>32</v>
      </c>
      <c r="C107" s="4" t="s">
        <v>403</v>
      </c>
      <c r="D107" s="144" t="s">
        <v>44</v>
      </c>
      <c r="E107" s="2" t="s">
        <v>87</v>
      </c>
      <c r="F107" s="2">
        <v>914</v>
      </c>
      <c r="G107" s="2">
        <v>464</v>
      </c>
      <c r="H107" s="2">
        <v>246</v>
      </c>
      <c r="I107" s="7">
        <v>11882</v>
      </c>
      <c r="J107" s="12">
        <f t="shared" si="5"/>
        <v>0.13667732704931829</v>
      </c>
      <c r="K107" s="7">
        <v>11500</v>
      </c>
      <c r="L107" s="2">
        <v>282</v>
      </c>
      <c r="M107" s="2" t="s">
        <v>29</v>
      </c>
      <c r="N107" t="s">
        <v>61</v>
      </c>
      <c r="O107" s="2" t="s">
        <v>37</v>
      </c>
      <c r="P107">
        <f t="shared" si="4"/>
        <v>1624</v>
      </c>
    </row>
    <row r="108" spans="1:16" ht="15.75" customHeight="1" x14ac:dyDescent="0.25">
      <c r="A108" s="2" t="s">
        <v>385</v>
      </c>
      <c r="B108" s="2" t="s">
        <v>13</v>
      </c>
      <c r="C108" s="4" t="s">
        <v>386</v>
      </c>
      <c r="D108" s="144" t="s">
        <v>51</v>
      </c>
      <c r="E108" s="2" t="s">
        <v>131</v>
      </c>
      <c r="F108" s="2">
        <v>3215</v>
      </c>
      <c r="G108" s="2">
        <v>960</v>
      </c>
      <c r="H108" s="2">
        <v>202</v>
      </c>
      <c r="I108" s="7">
        <v>32150</v>
      </c>
      <c r="J108" s="12">
        <f t="shared" si="5"/>
        <v>0.13614307931570763</v>
      </c>
      <c r="K108" s="7">
        <v>31404</v>
      </c>
      <c r="L108" s="2">
        <v>251</v>
      </c>
      <c r="M108" s="2" t="s">
        <v>29</v>
      </c>
      <c r="N108" t="s">
        <v>29</v>
      </c>
      <c r="P108">
        <f t="shared" si="4"/>
        <v>4377</v>
      </c>
    </row>
    <row r="109" spans="1:16" ht="15.75" customHeight="1" x14ac:dyDescent="0.25">
      <c r="A109" s="2" t="s">
        <v>234</v>
      </c>
      <c r="B109" s="2" t="s">
        <v>13</v>
      </c>
      <c r="C109" s="4" t="s">
        <v>167</v>
      </c>
      <c r="D109" s="144" t="s">
        <v>34</v>
      </c>
      <c r="E109" s="2" t="s">
        <v>148</v>
      </c>
      <c r="F109" s="2">
        <v>3801</v>
      </c>
      <c r="G109" s="2">
        <v>967</v>
      </c>
      <c r="H109" s="2">
        <v>401</v>
      </c>
      <c r="I109" s="7">
        <v>38010</v>
      </c>
      <c r="J109" s="12">
        <f t="shared" si="5"/>
        <v>0.13599052880820836</v>
      </c>
      <c r="K109" s="7">
        <v>37625</v>
      </c>
      <c r="L109" s="2">
        <v>236</v>
      </c>
      <c r="M109" s="2" t="s">
        <v>29</v>
      </c>
      <c r="N109" t="s">
        <v>608</v>
      </c>
      <c r="O109" s="2" t="s">
        <v>24</v>
      </c>
      <c r="P109">
        <f t="shared" si="4"/>
        <v>5169</v>
      </c>
    </row>
    <row r="110" spans="1:16" ht="15.75" customHeight="1" x14ac:dyDescent="0.25">
      <c r="A110" s="2" t="s">
        <v>226</v>
      </c>
      <c r="B110" s="2" t="s">
        <v>42</v>
      </c>
      <c r="C110" s="4" t="s">
        <v>227</v>
      </c>
      <c r="D110" s="144" t="s">
        <v>34</v>
      </c>
      <c r="E110" s="2" t="s">
        <v>70</v>
      </c>
      <c r="F110" s="2">
        <v>302</v>
      </c>
      <c r="G110" s="2">
        <v>47</v>
      </c>
      <c r="H110" s="2">
        <v>430</v>
      </c>
      <c r="I110" s="7">
        <v>5738</v>
      </c>
      <c r="J110" s="12">
        <f t="shared" si="5"/>
        <v>0.13576158940397351</v>
      </c>
      <c r="K110" s="7">
        <v>4890</v>
      </c>
      <c r="L110" s="2">
        <v>25</v>
      </c>
      <c r="M110" s="2" t="s">
        <v>61</v>
      </c>
      <c r="N110" t="s">
        <v>61</v>
      </c>
      <c r="O110" s="2" t="s">
        <v>30</v>
      </c>
      <c r="P110">
        <f t="shared" si="4"/>
        <v>779</v>
      </c>
    </row>
    <row r="111" spans="1:16" ht="15.75" customHeight="1" x14ac:dyDescent="0.25">
      <c r="A111" s="2" t="s">
        <v>542</v>
      </c>
      <c r="B111" s="2" t="s">
        <v>26</v>
      </c>
      <c r="C111" s="4" t="s">
        <v>429</v>
      </c>
      <c r="D111" s="144" t="s">
        <v>21</v>
      </c>
      <c r="E111" s="2" t="s">
        <v>103</v>
      </c>
      <c r="F111" s="2">
        <v>4021</v>
      </c>
      <c r="G111" s="2">
        <v>794</v>
      </c>
      <c r="H111" s="2">
        <v>77</v>
      </c>
      <c r="I111" s="7">
        <v>36189</v>
      </c>
      <c r="J111" s="12">
        <f t="shared" si="5"/>
        <v>0.13517919809886983</v>
      </c>
      <c r="K111" s="7">
        <v>35505</v>
      </c>
      <c r="L111" s="2">
        <v>174</v>
      </c>
      <c r="M111" s="2" t="s">
        <v>36</v>
      </c>
      <c r="N111" t="s">
        <v>61</v>
      </c>
      <c r="O111" s="2" t="s">
        <v>24</v>
      </c>
      <c r="P111">
        <f t="shared" si="4"/>
        <v>4892</v>
      </c>
    </row>
    <row r="112" spans="1:16" ht="15.75" customHeight="1" x14ac:dyDescent="0.25">
      <c r="A112" s="2" t="s">
        <v>151</v>
      </c>
      <c r="B112" s="2" t="s">
        <v>26</v>
      </c>
      <c r="C112" s="4" t="s">
        <v>152</v>
      </c>
      <c r="D112" s="144" t="s">
        <v>34</v>
      </c>
      <c r="E112" s="2" t="s">
        <v>153</v>
      </c>
      <c r="F112" s="2">
        <v>2754</v>
      </c>
      <c r="G112" s="2">
        <v>130</v>
      </c>
      <c r="H112" s="2">
        <v>90</v>
      </c>
      <c r="I112" s="7">
        <v>22032</v>
      </c>
      <c r="J112" s="12">
        <f t="shared" si="5"/>
        <v>0.13498547567175018</v>
      </c>
      <c r="K112" s="7">
        <v>21288</v>
      </c>
      <c r="L112" s="2">
        <v>112</v>
      </c>
      <c r="M112" s="2" t="s">
        <v>29</v>
      </c>
      <c r="N112" t="s">
        <v>36</v>
      </c>
      <c r="O112" s="2" t="s">
        <v>24</v>
      </c>
      <c r="P112">
        <f t="shared" si="4"/>
        <v>2974</v>
      </c>
    </row>
    <row r="113" spans="1:16" ht="15.75" customHeight="1" x14ac:dyDescent="0.25">
      <c r="A113" s="2" t="s">
        <v>300</v>
      </c>
      <c r="B113" s="2" t="s">
        <v>32</v>
      </c>
      <c r="C113" s="4" t="s">
        <v>105</v>
      </c>
      <c r="D113" s="144" t="s">
        <v>34</v>
      </c>
      <c r="E113" s="2" t="s">
        <v>35</v>
      </c>
      <c r="F113" s="2">
        <v>1947</v>
      </c>
      <c r="G113" s="2">
        <v>842</v>
      </c>
      <c r="H113" s="2">
        <v>101</v>
      </c>
      <c r="I113" s="7">
        <v>21417</v>
      </c>
      <c r="J113" s="12">
        <f t="shared" si="5"/>
        <v>0.13493953401503478</v>
      </c>
      <c r="K113" s="7">
        <v>20967</v>
      </c>
      <c r="L113" s="2">
        <v>186</v>
      </c>
      <c r="M113" s="2" t="s">
        <v>61</v>
      </c>
      <c r="N113" t="s">
        <v>61</v>
      </c>
      <c r="O113" s="2" t="s">
        <v>30</v>
      </c>
      <c r="P113">
        <f t="shared" si="4"/>
        <v>2890</v>
      </c>
    </row>
    <row r="114" spans="1:16" ht="15.75" customHeight="1" x14ac:dyDescent="0.25">
      <c r="A114" s="2" t="s">
        <v>455</v>
      </c>
      <c r="B114" s="2" t="s">
        <v>32</v>
      </c>
      <c r="C114" s="4" t="s">
        <v>152</v>
      </c>
      <c r="D114" s="144" t="s">
        <v>44</v>
      </c>
      <c r="E114" s="2" t="s">
        <v>87</v>
      </c>
      <c r="F114" s="2">
        <v>4799</v>
      </c>
      <c r="G114" s="2">
        <v>694</v>
      </c>
      <c r="H114" s="2">
        <v>289</v>
      </c>
      <c r="I114" s="7">
        <v>43191</v>
      </c>
      <c r="J114" s="12">
        <f t="shared" si="5"/>
        <v>0.13387048227640017</v>
      </c>
      <c r="K114" s="7">
        <v>42228</v>
      </c>
      <c r="L114" s="2">
        <v>118</v>
      </c>
      <c r="M114" s="2" t="s">
        <v>36</v>
      </c>
      <c r="N114" t="s">
        <v>36</v>
      </c>
      <c r="O114" s="2" t="s">
        <v>18</v>
      </c>
      <c r="P114">
        <f t="shared" si="4"/>
        <v>5782</v>
      </c>
    </row>
    <row r="115" spans="1:16" ht="15.75" customHeight="1" x14ac:dyDescent="0.25">
      <c r="A115" s="2" t="s">
        <v>199</v>
      </c>
      <c r="B115" s="2" t="s">
        <v>26</v>
      </c>
      <c r="C115" s="4" t="s">
        <v>200</v>
      </c>
      <c r="D115" s="144" t="s">
        <v>15</v>
      </c>
      <c r="E115" s="2" t="s">
        <v>28</v>
      </c>
      <c r="F115" s="2">
        <v>1855</v>
      </c>
      <c r="G115" s="2">
        <v>200</v>
      </c>
      <c r="H115" s="2">
        <v>174</v>
      </c>
      <c r="I115" s="7">
        <v>16695</v>
      </c>
      <c r="J115" s="12">
        <f t="shared" si="5"/>
        <v>0.13351302785265048</v>
      </c>
      <c r="K115" s="7">
        <v>16330</v>
      </c>
      <c r="L115" s="2">
        <v>123</v>
      </c>
      <c r="M115" s="2" t="s">
        <v>61</v>
      </c>
      <c r="N115" t="s">
        <v>36</v>
      </c>
      <c r="O115" s="2" t="s">
        <v>18</v>
      </c>
      <c r="P115">
        <f t="shared" si="4"/>
        <v>2229</v>
      </c>
    </row>
    <row r="116" spans="1:16" ht="15.75" customHeight="1" x14ac:dyDescent="0.25">
      <c r="A116" s="2" t="s">
        <v>493</v>
      </c>
      <c r="B116" s="2" t="s">
        <v>13</v>
      </c>
      <c r="C116" s="4" t="s">
        <v>494</v>
      </c>
      <c r="D116" s="144" t="s">
        <v>51</v>
      </c>
      <c r="E116" s="2" t="s">
        <v>131</v>
      </c>
      <c r="F116" s="2">
        <v>2692</v>
      </c>
      <c r="G116" s="2">
        <v>115</v>
      </c>
      <c r="H116" s="2">
        <v>64</v>
      </c>
      <c r="I116" s="7">
        <v>21536</v>
      </c>
      <c r="J116" s="12">
        <f t="shared" si="5"/>
        <v>0.13331166419019316</v>
      </c>
      <c r="K116" s="7">
        <v>21120</v>
      </c>
      <c r="L116" s="2">
        <v>224</v>
      </c>
      <c r="M116" s="2" t="s">
        <v>94</v>
      </c>
      <c r="N116" t="s">
        <v>29</v>
      </c>
      <c r="O116" s="2" t="s">
        <v>37</v>
      </c>
      <c r="P116">
        <f t="shared" si="4"/>
        <v>2871</v>
      </c>
    </row>
    <row r="117" spans="1:16" ht="15.75" customHeight="1" x14ac:dyDescent="0.25">
      <c r="A117" s="2" t="s">
        <v>299</v>
      </c>
      <c r="B117" s="2" t="s">
        <v>32</v>
      </c>
      <c r="C117" s="4" t="s">
        <v>167</v>
      </c>
      <c r="D117" s="144" t="s">
        <v>15</v>
      </c>
      <c r="E117" s="2" t="s">
        <v>81</v>
      </c>
      <c r="F117" s="2">
        <v>4840</v>
      </c>
      <c r="G117" s="2">
        <v>658</v>
      </c>
      <c r="H117" s="2">
        <v>211</v>
      </c>
      <c r="I117" s="7">
        <v>43560</v>
      </c>
      <c r="J117" s="12">
        <f t="shared" si="5"/>
        <v>0.13106060606060607</v>
      </c>
      <c r="K117" s="7">
        <v>43225</v>
      </c>
      <c r="L117" s="2">
        <v>57</v>
      </c>
      <c r="M117" s="2" t="s">
        <v>29</v>
      </c>
      <c r="N117" t="s">
        <v>61</v>
      </c>
      <c r="P117">
        <f t="shared" si="4"/>
        <v>5709</v>
      </c>
    </row>
    <row r="118" spans="1:16" ht="15.75" customHeight="1" x14ac:dyDescent="0.25">
      <c r="A118" s="2" t="s">
        <v>464</v>
      </c>
      <c r="B118" s="2" t="s">
        <v>42</v>
      </c>
      <c r="C118" s="4" t="s">
        <v>80</v>
      </c>
      <c r="D118" s="144" t="s">
        <v>21</v>
      </c>
      <c r="E118" s="2" t="s">
        <v>55</v>
      </c>
      <c r="F118" s="2">
        <v>1257</v>
      </c>
      <c r="G118" s="2">
        <v>19</v>
      </c>
      <c r="H118" s="2">
        <v>351</v>
      </c>
      <c r="I118" s="7">
        <v>12570</v>
      </c>
      <c r="J118" s="12">
        <f t="shared" si="5"/>
        <v>0.12943516308671441</v>
      </c>
      <c r="K118" s="7">
        <v>11660</v>
      </c>
      <c r="L118" s="2">
        <v>194</v>
      </c>
      <c r="M118" s="2" t="s">
        <v>36</v>
      </c>
      <c r="N118" t="s">
        <v>29</v>
      </c>
      <c r="O118" s="2" t="s">
        <v>37</v>
      </c>
      <c r="P118">
        <f t="shared" si="4"/>
        <v>1627</v>
      </c>
    </row>
    <row r="119" spans="1:16" ht="15.75" customHeight="1" x14ac:dyDescent="0.25">
      <c r="A119" s="2" t="s">
        <v>274</v>
      </c>
      <c r="B119" s="2" t="s">
        <v>13</v>
      </c>
      <c r="C119" s="4" t="s">
        <v>275</v>
      </c>
      <c r="D119" s="144" t="s">
        <v>34</v>
      </c>
      <c r="E119" s="2" t="s">
        <v>148</v>
      </c>
      <c r="F119" s="2">
        <v>4000</v>
      </c>
      <c r="G119" s="2">
        <v>689</v>
      </c>
      <c r="H119" s="2">
        <v>488</v>
      </c>
      <c r="I119" s="7">
        <v>40000</v>
      </c>
      <c r="J119" s="12">
        <f t="shared" si="5"/>
        <v>0.12942500000000001</v>
      </c>
      <c r="K119" s="7">
        <v>39569</v>
      </c>
      <c r="L119" s="2">
        <v>44</v>
      </c>
      <c r="M119" s="2" t="s">
        <v>61</v>
      </c>
      <c r="N119" t="s">
        <v>29</v>
      </c>
      <c r="O119" s="2" t="s">
        <v>30</v>
      </c>
      <c r="P119">
        <f t="shared" si="4"/>
        <v>5177</v>
      </c>
    </row>
    <row r="120" spans="1:16" ht="15.75" customHeight="1" x14ac:dyDescent="0.25">
      <c r="A120" s="2" t="s">
        <v>164</v>
      </c>
      <c r="B120" s="2" t="s">
        <v>42</v>
      </c>
      <c r="C120" s="4" t="s">
        <v>165</v>
      </c>
      <c r="D120" s="144" t="s">
        <v>44</v>
      </c>
      <c r="E120" s="2" t="s">
        <v>45</v>
      </c>
      <c r="F120" s="2">
        <v>2946</v>
      </c>
      <c r="G120" s="2">
        <v>498</v>
      </c>
      <c r="H120" s="2">
        <v>367</v>
      </c>
      <c r="I120" s="7">
        <v>29460</v>
      </c>
      <c r="J120" s="12">
        <f t="shared" si="5"/>
        <v>0.12936184657162253</v>
      </c>
      <c r="K120" s="7">
        <v>28527</v>
      </c>
      <c r="L120" s="2">
        <v>60</v>
      </c>
      <c r="M120" s="2" t="s">
        <v>61</v>
      </c>
      <c r="N120" t="s">
        <v>29</v>
      </c>
      <c r="P120">
        <f t="shared" si="4"/>
        <v>3811</v>
      </c>
    </row>
    <row r="121" spans="1:16" ht="15.75" customHeight="1" x14ac:dyDescent="0.25">
      <c r="A121" s="2" t="s">
        <v>256</v>
      </c>
      <c r="B121" s="2" t="s">
        <v>32</v>
      </c>
      <c r="C121" s="4" t="s">
        <v>257</v>
      </c>
      <c r="D121" s="144" t="s">
        <v>44</v>
      </c>
      <c r="E121" s="2" t="s">
        <v>87</v>
      </c>
      <c r="F121" s="2">
        <v>498</v>
      </c>
      <c r="G121" s="2">
        <v>38</v>
      </c>
      <c r="H121" s="2">
        <v>42</v>
      </c>
      <c r="I121" s="7">
        <v>4482</v>
      </c>
      <c r="J121" s="12">
        <f t="shared" si="5"/>
        <v>0.12896028558679162</v>
      </c>
      <c r="K121" s="7">
        <v>3647</v>
      </c>
      <c r="L121" s="2">
        <v>32</v>
      </c>
      <c r="M121" s="2" t="s">
        <v>36</v>
      </c>
      <c r="N121" t="s">
        <v>61</v>
      </c>
      <c r="O121" s="2" t="s">
        <v>30</v>
      </c>
      <c r="P121">
        <f t="shared" si="4"/>
        <v>578</v>
      </c>
    </row>
    <row r="122" spans="1:16" ht="15.75" customHeight="1" x14ac:dyDescent="0.25">
      <c r="A122" s="2" t="s">
        <v>62</v>
      </c>
      <c r="B122" s="2" t="s">
        <v>42</v>
      </c>
      <c r="C122" s="4" t="s">
        <v>63</v>
      </c>
      <c r="D122" s="144" t="s">
        <v>15</v>
      </c>
      <c r="E122" s="2" t="s">
        <v>64</v>
      </c>
      <c r="F122" s="2">
        <v>1946</v>
      </c>
      <c r="G122" s="2">
        <v>686</v>
      </c>
      <c r="H122" s="2">
        <v>377</v>
      </c>
      <c r="I122" s="7">
        <v>23352</v>
      </c>
      <c r="J122" s="12">
        <f t="shared" si="5"/>
        <v>0.12885405960945528</v>
      </c>
      <c r="K122" s="7">
        <v>22982</v>
      </c>
      <c r="L122" s="2">
        <v>213</v>
      </c>
      <c r="M122" s="2" t="s">
        <v>61</v>
      </c>
      <c r="N122" t="s">
        <v>36</v>
      </c>
      <c r="P122">
        <f t="shared" si="4"/>
        <v>3009</v>
      </c>
    </row>
    <row r="123" spans="1:16" ht="15.75" customHeight="1" x14ac:dyDescent="0.25">
      <c r="A123" s="2" t="s">
        <v>463</v>
      </c>
      <c r="B123" s="2" t="s">
        <v>42</v>
      </c>
      <c r="C123" s="4" t="s">
        <v>391</v>
      </c>
      <c r="D123" s="144" t="s">
        <v>51</v>
      </c>
      <c r="E123" s="2" t="s">
        <v>58</v>
      </c>
      <c r="F123" s="2">
        <v>3196</v>
      </c>
      <c r="G123" s="2">
        <v>941</v>
      </c>
      <c r="H123" s="2">
        <v>376</v>
      </c>
      <c r="I123" s="7">
        <v>35156</v>
      </c>
      <c r="J123" s="12">
        <f t="shared" si="5"/>
        <v>0.1283706906360223</v>
      </c>
      <c r="K123" s="7">
        <v>34444</v>
      </c>
      <c r="L123" s="2">
        <v>241</v>
      </c>
      <c r="M123" s="2" t="s">
        <v>36</v>
      </c>
      <c r="N123" t="s">
        <v>29</v>
      </c>
      <c r="O123" s="2" t="s">
        <v>24</v>
      </c>
      <c r="P123">
        <f t="shared" si="4"/>
        <v>4513</v>
      </c>
    </row>
    <row r="124" spans="1:16" ht="15.75" customHeight="1" x14ac:dyDescent="0.25">
      <c r="A124" s="2" t="s">
        <v>115</v>
      </c>
      <c r="B124" s="2" t="s">
        <v>42</v>
      </c>
      <c r="C124" s="4" t="s">
        <v>116</v>
      </c>
      <c r="D124" s="144" t="s">
        <v>51</v>
      </c>
      <c r="E124" s="2" t="s">
        <v>58</v>
      </c>
      <c r="F124" s="2">
        <v>1407</v>
      </c>
      <c r="G124" s="2">
        <v>400</v>
      </c>
      <c r="H124" s="2">
        <v>351</v>
      </c>
      <c r="I124" s="7">
        <v>16884</v>
      </c>
      <c r="J124" s="12">
        <f t="shared" si="5"/>
        <v>0.12781331438047855</v>
      </c>
      <c r="K124" s="7">
        <v>15954</v>
      </c>
      <c r="L124" s="2">
        <v>113</v>
      </c>
      <c r="M124" s="2" t="s">
        <v>36</v>
      </c>
      <c r="N124" t="s">
        <v>61</v>
      </c>
      <c r="O124" s="2" t="s">
        <v>18</v>
      </c>
      <c r="P124">
        <f t="shared" si="4"/>
        <v>2158</v>
      </c>
    </row>
    <row r="125" spans="1:16" ht="15.75" customHeight="1" x14ac:dyDescent="0.25">
      <c r="A125" s="2" t="s">
        <v>125</v>
      </c>
      <c r="B125" s="2" t="s">
        <v>26</v>
      </c>
      <c r="C125" s="4" t="s">
        <v>126</v>
      </c>
      <c r="D125" s="144" t="s">
        <v>15</v>
      </c>
      <c r="E125" s="2" t="s">
        <v>28</v>
      </c>
      <c r="F125" s="2">
        <v>3138</v>
      </c>
      <c r="G125" s="2">
        <v>123</v>
      </c>
      <c r="H125" s="2">
        <v>291</v>
      </c>
      <c r="I125" s="7">
        <v>28242</v>
      </c>
      <c r="J125" s="12">
        <f t="shared" si="5"/>
        <v>0.12577012959422137</v>
      </c>
      <c r="K125" s="7">
        <v>27550</v>
      </c>
      <c r="L125" s="2">
        <v>87</v>
      </c>
      <c r="M125" s="2" t="s">
        <v>36</v>
      </c>
      <c r="N125" t="s">
        <v>36</v>
      </c>
      <c r="O125" s="2" t="s">
        <v>18</v>
      </c>
      <c r="P125">
        <f t="shared" si="4"/>
        <v>3552</v>
      </c>
    </row>
    <row r="126" spans="1:16" ht="15.75" customHeight="1" x14ac:dyDescent="0.25">
      <c r="A126" s="2" t="s">
        <v>404</v>
      </c>
      <c r="B126" s="2" t="s">
        <v>32</v>
      </c>
      <c r="C126" s="4" t="s">
        <v>405</v>
      </c>
      <c r="D126" s="144" t="s">
        <v>21</v>
      </c>
      <c r="E126" s="2" t="s">
        <v>112</v>
      </c>
      <c r="F126" s="2">
        <v>1813</v>
      </c>
      <c r="G126" s="2">
        <v>623</v>
      </c>
      <c r="H126" s="2">
        <v>72</v>
      </c>
      <c r="I126" s="7">
        <v>19943</v>
      </c>
      <c r="J126" s="12">
        <f t="shared" si="5"/>
        <v>0.12575841147269717</v>
      </c>
      <c r="K126" s="7">
        <v>18959</v>
      </c>
      <c r="L126" s="2">
        <v>85</v>
      </c>
      <c r="M126" s="2" t="s">
        <v>29</v>
      </c>
      <c r="N126" t="s">
        <v>61</v>
      </c>
      <c r="O126" s="2" t="s">
        <v>37</v>
      </c>
      <c r="P126">
        <f t="shared" si="4"/>
        <v>2508</v>
      </c>
    </row>
    <row r="127" spans="1:16" ht="15.75" customHeight="1" x14ac:dyDescent="0.25">
      <c r="A127" s="2" t="s">
        <v>295</v>
      </c>
      <c r="B127" s="2" t="s">
        <v>13</v>
      </c>
      <c r="C127" s="4" t="s">
        <v>229</v>
      </c>
      <c r="D127" s="144" t="s">
        <v>51</v>
      </c>
      <c r="E127" s="2" t="s">
        <v>131</v>
      </c>
      <c r="F127" s="2">
        <v>3092</v>
      </c>
      <c r="G127" s="2">
        <v>106</v>
      </c>
      <c r="H127" s="2">
        <v>291</v>
      </c>
      <c r="I127" s="7">
        <v>27828</v>
      </c>
      <c r="J127" s="12">
        <f t="shared" si="5"/>
        <v>0.12537731780940059</v>
      </c>
      <c r="K127" s="7">
        <v>27217</v>
      </c>
      <c r="L127" s="2">
        <v>102</v>
      </c>
      <c r="M127" s="2" t="s">
        <v>61</v>
      </c>
      <c r="N127" t="s">
        <v>29</v>
      </c>
      <c r="P127">
        <f t="shared" si="4"/>
        <v>3489</v>
      </c>
    </row>
    <row r="128" spans="1:16" ht="15.75" customHeight="1" x14ac:dyDescent="0.25">
      <c r="A128" s="2" t="s">
        <v>360</v>
      </c>
      <c r="B128" s="2" t="s">
        <v>26</v>
      </c>
      <c r="C128" s="4" t="s">
        <v>361</v>
      </c>
      <c r="D128" s="144" t="s">
        <v>73</v>
      </c>
      <c r="E128" s="2" t="s">
        <v>218</v>
      </c>
      <c r="F128" s="2">
        <v>3809</v>
      </c>
      <c r="G128" s="2">
        <v>273</v>
      </c>
      <c r="H128" s="2">
        <v>200</v>
      </c>
      <c r="I128" s="7">
        <v>34281</v>
      </c>
      <c r="J128" s="12">
        <f t="shared" si="5"/>
        <v>0.12490884163239112</v>
      </c>
      <c r="K128" s="7">
        <v>33534</v>
      </c>
      <c r="L128" s="2">
        <v>83</v>
      </c>
      <c r="M128" s="2" t="s">
        <v>61</v>
      </c>
      <c r="N128" t="s">
        <v>608</v>
      </c>
      <c r="O128" s="2" t="s">
        <v>30</v>
      </c>
      <c r="P128">
        <f t="shared" si="4"/>
        <v>4282</v>
      </c>
    </row>
    <row r="129" spans="1:16" ht="15.75" customHeight="1" x14ac:dyDescent="0.25">
      <c r="A129" s="2" t="s">
        <v>554</v>
      </c>
      <c r="B129" s="2" t="s">
        <v>42</v>
      </c>
      <c r="C129" s="4" t="s">
        <v>555</v>
      </c>
      <c r="D129" s="144" t="s">
        <v>21</v>
      </c>
      <c r="E129" s="2" t="s">
        <v>55</v>
      </c>
      <c r="F129" s="2">
        <v>2634</v>
      </c>
      <c r="G129" s="2">
        <v>726</v>
      </c>
      <c r="H129" s="2">
        <v>241</v>
      </c>
      <c r="I129" s="7">
        <v>28974</v>
      </c>
      <c r="J129" s="12">
        <f t="shared" si="5"/>
        <v>0.12428384068475185</v>
      </c>
      <c r="K129" s="7">
        <v>28102</v>
      </c>
      <c r="L129" s="2">
        <v>277</v>
      </c>
      <c r="M129" s="2" t="s">
        <v>61</v>
      </c>
      <c r="N129" t="s">
        <v>29</v>
      </c>
      <c r="P129">
        <f t="shared" si="4"/>
        <v>3601</v>
      </c>
    </row>
    <row r="130" spans="1:16" ht="15.75" customHeight="1" x14ac:dyDescent="0.25">
      <c r="A130" s="2" t="s">
        <v>552</v>
      </c>
      <c r="B130" s="2" t="s">
        <v>42</v>
      </c>
      <c r="C130" s="4" t="s">
        <v>553</v>
      </c>
      <c r="D130" s="144" t="s">
        <v>21</v>
      </c>
      <c r="E130" s="2" t="s">
        <v>55</v>
      </c>
      <c r="F130" s="2">
        <v>880</v>
      </c>
      <c r="G130" s="2">
        <v>297</v>
      </c>
      <c r="H130" s="2">
        <v>345</v>
      </c>
      <c r="I130" s="7">
        <v>12320</v>
      </c>
      <c r="J130" s="12">
        <f t="shared" ref="J130:J161" si="6">(F130+G130+H130)/I130</f>
        <v>0.12353896103896105</v>
      </c>
      <c r="K130" s="7">
        <v>11978</v>
      </c>
      <c r="L130" s="2">
        <v>238</v>
      </c>
      <c r="M130" s="2" t="s">
        <v>29</v>
      </c>
      <c r="N130" t="s">
        <v>36</v>
      </c>
      <c r="P130">
        <f t="shared" si="4"/>
        <v>1522</v>
      </c>
    </row>
    <row r="131" spans="1:16" ht="15.75" customHeight="1" x14ac:dyDescent="0.25">
      <c r="A131" s="2" t="s">
        <v>430</v>
      </c>
      <c r="B131" s="2" t="s">
        <v>26</v>
      </c>
      <c r="C131" s="4" t="s">
        <v>196</v>
      </c>
      <c r="D131" s="144" t="s">
        <v>73</v>
      </c>
      <c r="E131" s="2" t="s">
        <v>218</v>
      </c>
      <c r="F131" s="2">
        <v>3874</v>
      </c>
      <c r="G131" s="2">
        <v>884</v>
      </c>
      <c r="H131" s="2">
        <v>19</v>
      </c>
      <c r="I131" s="7">
        <v>38740</v>
      </c>
      <c r="J131" s="12">
        <f t="shared" si="6"/>
        <v>0.123309241094476</v>
      </c>
      <c r="K131" s="7">
        <v>38552</v>
      </c>
      <c r="L131" s="2">
        <v>219</v>
      </c>
      <c r="M131" s="2" t="s">
        <v>36</v>
      </c>
      <c r="N131" t="s">
        <v>61</v>
      </c>
      <c r="O131" s="2" t="s">
        <v>37</v>
      </c>
      <c r="P131">
        <f t="shared" ref="P131:P194" si="7">F131+G131+H131</f>
        <v>4777</v>
      </c>
    </row>
    <row r="132" spans="1:16" ht="15.75" customHeight="1" x14ac:dyDescent="0.25">
      <c r="A132" s="2" t="s">
        <v>266</v>
      </c>
      <c r="B132" s="2" t="s">
        <v>32</v>
      </c>
      <c r="C132" s="4" t="s">
        <v>267</v>
      </c>
      <c r="D132" s="144" t="s">
        <v>15</v>
      </c>
      <c r="E132" s="2" t="s">
        <v>81</v>
      </c>
      <c r="F132" s="2">
        <v>3523</v>
      </c>
      <c r="G132" s="2">
        <v>753</v>
      </c>
      <c r="H132" s="2">
        <v>482</v>
      </c>
      <c r="I132" s="7">
        <v>38753</v>
      </c>
      <c r="J132" s="12">
        <f t="shared" si="6"/>
        <v>0.12277759141227776</v>
      </c>
      <c r="K132" s="7">
        <v>38579</v>
      </c>
      <c r="L132" s="2">
        <v>270</v>
      </c>
      <c r="M132" s="2" t="s">
        <v>61</v>
      </c>
      <c r="N132" t="s">
        <v>61</v>
      </c>
      <c r="O132" s="2" t="s">
        <v>30</v>
      </c>
      <c r="P132">
        <f t="shared" si="7"/>
        <v>4758</v>
      </c>
    </row>
    <row r="133" spans="1:16" ht="15.75" customHeight="1" x14ac:dyDescent="0.25">
      <c r="A133" s="2" t="s">
        <v>478</v>
      </c>
      <c r="B133" s="2" t="s">
        <v>42</v>
      </c>
      <c r="C133" s="4" t="s">
        <v>479</v>
      </c>
      <c r="D133" s="144" t="s">
        <v>15</v>
      </c>
      <c r="E133" s="2" t="s">
        <v>64</v>
      </c>
      <c r="F133" s="2">
        <v>4134</v>
      </c>
      <c r="G133" s="2">
        <v>824</v>
      </c>
      <c r="H133" s="2">
        <v>99</v>
      </c>
      <c r="I133" s="7">
        <v>41340</v>
      </c>
      <c r="J133" s="12">
        <f t="shared" si="6"/>
        <v>0.12232704402515723</v>
      </c>
      <c r="K133" s="7">
        <v>41050</v>
      </c>
      <c r="L133" s="2">
        <v>177</v>
      </c>
      <c r="M133" s="2" t="s">
        <v>61</v>
      </c>
      <c r="N133" t="s">
        <v>36</v>
      </c>
      <c r="O133" s="2" t="s">
        <v>24</v>
      </c>
      <c r="P133">
        <f t="shared" si="7"/>
        <v>5057</v>
      </c>
    </row>
    <row r="134" spans="1:16" ht="15.75" customHeight="1" x14ac:dyDescent="0.25">
      <c r="A134" s="2" t="s">
        <v>201</v>
      </c>
      <c r="B134" s="2" t="s">
        <v>32</v>
      </c>
      <c r="C134" s="4" t="s">
        <v>202</v>
      </c>
      <c r="D134" s="144" t="s">
        <v>15</v>
      </c>
      <c r="E134" s="2" t="s">
        <v>81</v>
      </c>
      <c r="F134" s="2">
        <v>1674</v>
      </c>
      <c r="G134" s="2">
        <v>929</v>
      </c>
      <c r="H134" s="2">
        <v>37</v>
      </c>
      <c r="I134" s="7">
        <v>21762</v>
      </c>
      <c r="J134" s="12">
        <f t="shared" si="6"/>
        <v>0.12131237937689551</v>
      </c>
      <c r="K134" s="7">
        <v>20998</v>
      </c>
      <c r="L134" s="2">
        <v>255</v>
      </c>
      <c r="M134" s="2" t="s">
        <v>29</v>
      </c>
      <c r="N134" t="s">
        <v>61</v>
      </c>
      <c r="O134" s="2" t="s">
        <v>37</v>
      </c>
      <c r="P134">
        <f t="shared" si="7"/>
        <v>2640</v>
      </c>
    </row>
    <row r="135" spans="1:16" ht="15.75" customHeight="1" x14ac:dyDescent="0.25">
      <c r="A135" s="2" t="s">
        <v>495</v>
      </c>
      <c r="B135" s="2" t="s">
        <v>42</v>
      </c>
      <c r="C135" s="4" t="s">
        <v>20</v>
      </c>
      <c r="D135" s="144" t="s">
        <v>34</v>
      </c>
      <c r="E135" s="2" t="s">
        <v>70</v>
      </c>
      <c r="F135" s="2">
        <v>3767</v>
      </c>
      <c r="G135" s="2">
        <v>514</v>
      </c>
      <c r="H135" s="2">
        <v>238</v>
      </c>
      <c r="I135" s="7">
        <v>37670</v>
      </c>
      <c r="J135" s="12">
        <f t="shared" si="6"/>
        <v>0.11996283514733209</v>
      </c>
      <c r="K135" s="7">
        <v>36807</v>
      </c>
      <c r="L135" s="2">
        <v>226</v>
      </c>
      <c r="M135" s="2" t="s">
        <v>29</v>
      </c>
      <c r="N135" t="s">
        <v>36</v>
      </c>
      <c r="O135" s="2" t="s">
        <v>18</v>
      </c>
      <c r="P135">
        <f t="shared" si="7"/>
        <v>4519</v>
      </c>
    </row>
    <row r="136" spans="1:16" ht="15.75" customHeight="1" x14ac:dyDescent="0.25">
      <c r="A136" s="2" t="s">
        <v>193</v>
      </c>
      <c r="B136" s="2" t="s">
        <v>26</v>
      </c>
      <c r="C136" s="4" t="s">
        <v>194</v>
      </c>
      <c r="D136" s="144" t="s">
        <v>44</v>
      </c>
      <c r="E136" s="2" t="s">
        <v>67</v>
      </c>
      <c r="F136" s="2">
        <v>2551</v>
      </c>
      <c r="G136" s="2">
        <v>915</v>
      </c>
      <c r="H136" s="2">
        <v>205</v>
      </c>
      <c r="I136" s="7">
        <v>30612</v>
      </c>
      <c r="J136" s="12">
        <f t="shared" si="6"/>
        <v>0.1199202926956749</v>
      </c>
      <c r="K136" s="7">
        <v>30360</v>
      </c>
      <c r="L136" s="2">
        <v>227</v>
      </c>
      <c r="M136" s="2" t="s">
        <v>61</v>
      </c>
      <c r="N136" t="s">
        <v>36</v>
      </c>
      <c r="O136" s="2" t="s">
        <v>37</v>
      </c>
      <c r="P136">
        <f t="shared" si="7"/>
        <v>3671</v>
      </c>
    </row>
    <row r="137" spans="1:16" ht="15.75" customHeight="1" x14ac:dyDescent="0.25">
      <c r="A137" s="2" t="s">
        <v>182</v>
      </c>
      <c r="B137" s="2" t="s">
        <v>32</v>
      </c>
      <c r="C137" s="4" t="s">
        <v>183</v>
      </c>
      <c r="D137" s="144" t="s">
        <v>34</v>
      </c>
      <c r="E137" s="2" t="s">
        <v>35</v>
      </c>
      <c r="F137" s="2">
        <v>1881</v>
      </c>
      <c r="G137" s="2">
        <v>501</v>
      </c>
      <c r="H137" s="2">
        <v>99</v>
      </c>
      <c r="I137" s="7">
        <v>20691</v>
      </c>
      <c r="J137" s="12">
        <f t="shared" si="6"/>
        <v>0.11990720603160794</v>
      </c>
      <c r="K137" s="7">
        <v>19987</v>
      </c>
      <c r="L137" s="2">
        <v>289</v>
      </c>
      <c r="M137" s="2" t="s">
        <v>36</v>
      </c>
      <c r="N137" t="s">
        <v>36</v>
      </c>
      <c r="O137" s="2" t="s">
        <v>37</v>
      </c>
      <c r="P137">
        <f t="shared" si="7"/>
        <v>2481</v>
      </c>
    </row>
    <row r="138" spans="1:16" ht="15.75" customHeight="1" x14ac:dyDescent="0.25">
      <c r="A138" s="2" t="s">
        <v>482</v>
      </c>
      <c r="B138" s="2" t="s">
        <v>42</v>
      </c>
      <c r="C138" s="4" t="s">
        <v>483</v>
      </c>
      <c r="D138" s="144" t="s">
        <v>15</v>
      </c>
      <c r="E138" s="2" t="s">
        <v>64</v>
      </c>
      <c r="F138" s="2">
        <v>3960</v>
      </c>
      <c r="G138" s="2">
        <v>266</v>
      </c>
      <c r="H138" s="2">
        <v>8</v>
      </c>
      <c r="I138" s="7">
        <v>35640</v>
      </c>
      <c r="J138" s="12">
        <f t="shared" si="6"/>
        <v>0.11879910213243547</v>
      </c>
      <c r="K138" s="7">
        <v>34850</v>
      </c>
      <c r="L138" s="2">
        <v>208</v>
      </c>
      <c r="M138" s="2" t="s">
        <v>61</v>
      </c>
      <c r="N138" t="s">
        <v>29</v>
      </c>
      <c r="P138">
        <f t="shared" si="7"/>
        <v>4234</v>
      </c>
    </row>
    <row r="139" spans="1:16" ht="15.75" customHeight="1" x14ac:dyDescent="0.25">
      <c r="A139" s="2" t="s">
        <v>119</v>
      </c>
      <c r="B139" s="2" t="s">
        <v>32</v>
      </c>
      <c r="C139" s="4" t="s">
        <v>120</v>
      </c>
      <c r="D139" s="144" t="s">
        <v>73</v>
      </c>
      <c r="E139" s="2" t="s">
        <v>84</v>
      </c>
      <c r="F139" s="2">
        <v>3775</v>
      </c>
      <c r="G139" s="2">
        <v>16</v>
      </c>
      <c r="H139" s="2">
        <v>239</v>
      </c>
      <c r="I139" s="7">
        <v>33975</v>
      </c>
      <c r="J139" s="12">
        <f t="shared" si="6"/>
        <v>0.11861662987490802</v>
      </c>
      <c r="K139" s="7">
        <v>33310</v>
      </c>
      <c r="L139" s="2">
        <v>271</v>
      </c>
      <c r="M139" s="2" t="s">
        <v>61</v>
      </c>
      <c r="N139" t="s">
        <v>61</v>
      </c>
      <c r="O139" s="2" t="s">
        <v>30</v>
      </c>
      <c r="P139">
        <f t="shared" si="7"/>
        <v>4030</v>
      </c>
    </row>
    <row r="140" spans="1:16" ht="15.75" customHeight="1" x14ac:dyDescent="0.25">
      <c r="A140" s="2" t="s">
        <v>280</v>
      </c>
      <c r="B140" s="2" t="s">
        <v>13</v>
      </c>
      <c r="C140" s="4" t="s">
        <v>281</v>
      </c>
      <c r="D140" s="144" t="s">
        <v>51</v>
      </c>
      <c r="E140" s="2" t="s">
        <v>131</v>
      </c>
      <c r="F140" s="2">
        <v>1606</v>
      </c>
      <c r="G140" s="2">
        <v>451</v>
      </c>
      <c r="H140" s="2">
        <v>405</v>
      </c>
      <c r="I140" s="7">
        <v>20878</v>
      </c>
      <c r="J140" s="12">
        <f t="shared" si="6"/>
        <v>0.11792317271769326</v>
      </c>
      <c r="K140" s="7">
        <v>20190</v>
      </c>
      <c r="L140" s="2">
        <v>219</v>
      </c>
      <c r="M140" s="2" t="s">
        <v>36</v>
      </c>
      <c r="N140" t="s">
        <v>61</v>
      </c>
      <c r="O140" s="2" t="s">
        <v>18</v>
      </c>
      <c r="P140">
        <f t="shared" si="7"/>
        <v>2462</v>
      </c>
    </row>
    <row r="141" spans="1:16" ht="15.75" customHeight="1" x14ac:dyDescent="0.25">
      <c r="A141" s="2" t="s">
        <v>488</v>
      </c>
      <c r="B141" s="2" t="s">
        <v>32</v>
      </c>
      <c r="C141" s="4" t="s">
        <v>489</v>
      </c>
      <c r="D141" s="144" t="s">
        <v>44</v>
      </c>
      <c r="E141" s="2" t="s">
        <v>87</v>
      </c>
      <c r="F141" s="2">
        <v>1377</v>
      </c>
      <c r="G141" s="2">
        <v>796</v>
      </c>
      <c r="H141" s="2">
        <v>387</v>
      </c>
      <c r="I141" s="7">
        <v>22032</v>
      </c>
      <c r="J141" s="12">
        <f t="shared" si="6"/>
        <v>0.11619462599854757</v>
      </c>
      <c r="K141" s="7">
        <v>21869</v>
      </c>
      <c r="L141" s="2">
        <v>189</v>
      </c>
      <c r="M141" s="2" t="s">
        <v>315</v>
      </c>
      <c r="N141" t="s">
        <v>61</v>
      </c>
      <c r="O141" s="2" t="s">
        <v>24</v>
      </c>
      <c r="P141">
        <f t="shared" si="7"/>
        <v>2560</v>
      </c>
    </row>
    <row r="142" spans="1:16" ht="15.75" customHeight="1" x14ac:dyDescent="0.25">
      <c r="A142" s="2" t="s">
        <v>59</v>
      </c>
      <c r="B142" s="2" t="s">
        <v>32</v>
      </c>
      <c r="C142" s="4" t="s">
        <v>60</v>
      </c>
      <c r="D142" s="144" t="s">
        <v>34</v>
      </c>
      <c r="E142" s="2" t="s">
        <v>35</v>
      </c>
      <c r="F142" s="2">
        <v>1792</v>
      </c>
      <c r="G142" s="2">
        <v>614</v>
      </c>
      <c r="H142" s="2">
        <v>497</v>
      </c>
      <c r="I142" s="7">
        <v>25088</v>
      </c>
      <c r="J142" s="12">
        <f t="shared" si="6"/>
        <v>0.11571269132653061</v>
      </c>
      <c r="K142" s="7">
        <v>24675</v>
      </c>
      <c r="L142" s="2">
        <v>65</v>
      </c>
      <c r="M142" s="2" t="s">
        <v>61</v>
      </c>
      <c r="N142" t="s">
        <v>29</v>
      </c>
      <c r="P142">
        <f t="shared" si="7"/>
        <v>2903</v>
      </c>
    </row>
    <row r="143" spans="1:16" ht="15.75" customHeight="1" x14ac:dyDescent="0.25">
      <c r="A143" s="2" t="s">
        <v>348</v>
      </c>
      <c r="B143" s="2" t="s">
        <v>13</v>
      </c>
      <c r="C143" s="4" t="s">
        <v>349</v>
      </c>
      <c r="D143" s="144" t="s">
        <v>21</v>
      </c>
      <c r="E143" s="2" t="s">
        <v>22</v>
      </c>
      <c r="F143" s="2">
        <v>4671</v>
      </c>
      <c r="G143" s="2">
        <v>876</v>
      </c>
      <c r="H143" s="2">
        <v>366</v>
      </c>
      <c r="I143" s="7">
        <v>51381</v>
      </c>
      <c r="J143" s="12">
        <f t="shared" si="6"/>
        <v>0.11508145034156594</v>
      </c>
      <c r="K143" s="7">
        <v>50565</v>
      </c>
      <c r="L143" s="2">
        <v>245</v>
      </c>
      <c r="M143" s="2" t="s">
        <v>61</v>
      </c>
      <c r="N143" t="s">
        <v>36</v>
      </c>
      <c r="O143" s="2" t="s">
        <v>37</v>
      </c>
      <c r="P143">
        <f t="shared" si="7"/>
        <v>5913</v>
      </c>
    </row>
    <row r="144" spans="1:16" ht="15.75" customHeight="1" x14ac:dyDescent="0.25">
      <c r="A144" s="2" t="s">
        <v>337</v>
      </c>
      <c r="B144" s="2" t="s">
        <v>26</v>
      </c>
      <c r="C144" s="4" t="s">
        <v>338</v>
      </c>
      <c r="D144" s="144" t="s">
        <v>51</v>
      </c>
      <c r="E144" s="2" t="s">
        <v>52</v>
      </c>
      <c r="F144" s="2">
        <v>2283</v>
      </c>
      <c r="G144" s="2">
        <v>210</v>
      </c>
      <c r="H144" s="2">
        <v>130</v>
      </c>
      <c r="I144" s="7">
        <v>22830</v>
      </c>
      <c r="J144" s="12">
        <f t="shared" si="6"/>
        <v>0.11489268506351293</v>
      </c>
      <c r="K144" s="7">
        <v>22617</v>
      </c>
      <c r="L144" s="2">
        <v>143</v>
      </c>
      <c r="M144" s="2" t="s">
        <v>29</v>
      </c>
      <c r="N144" t="s">
        <v>61</v>
      </c>
      <c r="O144" s="2" t="s">
        <v>30</v>
      </c>
      <c r="P144">
        <f t="shared" si="7"/>
        <v>2623</v>
      </c>
    </row>
    <row r="145" spans="1:16" ht="15.75" customHeight="1" x14ac:dyDescent="0.25">
      <c r="A145" s="2" t="s">
        <v>541</v>
      </c>
      <c r="B145" s="2" t="s">
        <v>13</v>
      </c>
      <c r="C145" s="4" t="s">
        <v>102</v>
      </c>
      <c r="D145" s="144" t="s">
        <v>21</v>
      </c>
      <c r="E145" s="2" t="s">
        <v>22</v>
      </c>
      <c r="F145" s="2">
        <v>571</v>
      </c>
      <c r="G145" s="2">
        <v>190</v>
      </c>
      <c r="H145" s="2">
        <v>352</v>
      </c>
      <c r="I145" s="7">
        <v>9707</v>
      </c>
      <c r="J145" s="12">
        <f t="shared" si="6"/>
        <v>0.11465952405480581</v>
      </c>
      <c r="K145" s="7">
        <v>9418</v>
      </c>
      <c r="L145" s="2">
        <v>231</v>
      </c>
      <c r="M145" s="2" t="s">
        <v>36</v>
      </c>
      <c r="N145" t="s">
        <v>61</v>
      </c>
      <c r="O145" s="2" t="s">
        <v>37</v>
      </c>
      <c r="P145">
        <f t="shared" si="7"/>
        <v>1113</v>
      </c>
    </row>
    <row r="146" spans="1:16" ht="15.75" customHeight="1" x14ac:dyDescent="0.25">
      <c r="A146" s="2" t="s">
        <v>272</v>
      </c>
      <c r="B146" s="2" t="s">
        <v>13</v>
      </c>
      <c r="C146" s="4" t="s">
        <v>273</v>
      </c>
      <c r="D146" s="144" t="s">
        <v>44</v>
      </c>
      <c r="E146" s="2" t="s">
        <v>48</v>
      </c>
      <c r="F146" s="2">
        <v>4419</v>
      </c>
      <c r="G146" s="2">
        <v>236</v>
      </c>
      <c r="H146" s="2">
        <v>369</v>
      </c>
      <c r="I146" s="7">
        <v>44190</v>
      </c>
      <c r="J146" s="12">
        <f t="shared" si="6"/>
        <v>0.11369088028965829</v>
      </c>
      <c r="K146" s="7">
        <v>43582</v>
      </c>
      <c r="L146" s="2">
        <v>10</v>
      </c>
      <c r="M146" s="2" t="s">
        <v>29</v>
      </c>
      <c r="N146" t="s">
        <v>29</v>
      </c>
      <c r="O146" s="2" t="s">
        <v>37</v>
      </c>
      <c r="P146">
        <f t="shared" si="7"/>
        <v>5024</v>
      </c>
    </row>
    <row r="147" spans="1:16" ht="15.75" customHeight="1" x14ac:dyDescent="0.25">
      <c r="A147" s="2" t="s">
        <v>343</v>
      </c>
      <c r="B147" s="2" t="s">
        <v>32</v>
      </c>
      <c r="C147" s="4" t="s">
        <v>344</v>
      </c>
      <c r="D147" s="144" t="s">
        <v>34</v>
      </c>
      <c r="E147" s="2" t="s">
        <v>35</v>
      </c>
      <c r="F147" s="2">
        <v>1762</v>
      </c>
      <c r="G147" s="2">
        <v>405</v>
      </c>
      <c r="H147" s="2">
        <v>423</v>
      </c>
      <c r="I147" s="7">
        <v>22906</v>
      </c>
      <c r="J147" s="12">
        <f t="shared" si="6"/>
        <v>0.11307081114118571</v>
      </c>
      <c r="K147" s="7">
        <v>21925</v>
      </c>
      <c r="L147" s="2">
        <v>25</v>
      </c>
      <c r="M147" s="2" t="s">
        <v>324</v>
      </c>
      <c r="N147" t="s">
        <v>29</v>
      </c>
      <c r="P147">
        <f t="shared" si="7"/>
        <v>2590</v>
      </c>
    </row>
    <row r="148" spans="1:16" ht="15.75" customHeight="1" x14ac:dyDescent="0.25">
      <c r="A148" s="2" t="s">
        <v>244</v>
      </c>
      <c r="B148" s="2" t="s">
        <v>13</v>
      </c>
      <c r="C148" s="4" t="s">
        <v>150</v>
      </c>
      <c r="D148" s="144" t="s">
        <v>34</v>
      </c>
      <c r="E148" s="2" t="s">
        <v>148</v>
      </c>
      <c r="F148" s="2">
        <v>1575</v>
      </c>
      <c r="G148" s="2">
        <v>771</v>
      </c>
      <c r="H148" s="2">
        <v>486</v>
      </c>
      <c r="I148" s="7">
        <v>25200</v>
      </c>
      <c r="J148" s="12">
        <f t="shared" si="6"/>
        <v>0.11238095238095239</v>
      </c>
      <c r="K148" s="7">
        <v>24826</v>
      </c>
      <c r="L148" s="2">
        <v>17</v>
      </c>
      <c r="M148" s="2" t="s">
        <v>29</v>
      </c>
      <c r="N148" t="s">
        <v>61</v>
      </c>
      <c r="O148" s="2" t="s">
        <v>24</v>
      </c>
      <c r="P148">
        <f t="shared" si="7"/>
        <v>2832</v>
      </c>
    </row>
    <row r="149" spans="1:16" ht="15.75" customHeight="1" x14ac:dyDescent="0.25">
      <c r="A149" s="2" t="s">
        <v>451</v>
      </c>
      <c r="B149" s="2" t="s">
        <v>32</v>
      </c>
      <c r="C149" s="4" t="s">
        <v>452</v>
      </c>
      <c r="D149" s="144" t="s">
        <v>21</v>
      </c>
      <c r="E149" s="2" t="s">
        <v>112</v>
      </c>
      <c r="F149" s="2">
        <v>246</v>
      </c>
      <c r="G149" s="2">
        <v>149</v>
      </c>
      <c r="H149" s="2">
        <v>130</v>
      </c>
      <c r="I149" s="7">
        <v>4674</v>
      </c>
      <c r="J149" s="12">
        <f t="shared" si="6"/>
        <v>0.11232349165596919</v>
      </c>
      <c r="K149" s="7">
        <v>4390</v>
      </c>
      <c r="L149" s="2">
        <v>217</v>
      </c>
      <c r="M149" s="2" t="s">
        <v>36</v>
      </c>
      <c r="N149" t="s">
        <v>36</v>
      </c>
      <c r="O149" s="2" t="s">
        <v>37</v>
      </c>
      <c r="P149">
        <f t="shared" si="7"/>
        <v>525</v>
      </c>
    </row>
    <row r="150" spans="1:16" ht="15.75" customHeight="1" x14ac:dyDescent="0.25">
      <c r="A150" s="2" t="s">
        <v>442</v>
      </c>
      <c r="B150" s="2" t="s">
        <v>42</v>
      </c>
      <c r="C150" s="4" t="s">
        <v>443</v>
      </c>
      <c r="D150" s="144" t="s">
        <v>15</v>
      </c>
      <c r="E150" s="2" t="s">
        <v>64</v>
      </c>
      <c r="F150" s="2">
        <v>1814</v>
      </c>
      <c r="G150" s="2">
        <v>653</v>
      </c>
      <c r="H150" s="2">
        <v>363</v>
      </c>
      <c r="I150" s="7">
        <v>25396</v>
      </c>
      <c r="J150" s="12">
        <f t="shared" si="6"/>
        <v>0.11143487163332809</v>
      </c>
      <c r="K150" s="7">
        <v>25286</v>
      </c>
      <c r="L150" s="2">
        <v>39</v>
      </c>
      <c r="M150" s="2" t="s">
        <v>36</v>
      </c>
      <c r="N150" t="s">
        <v>61</v>
      </c>
      <c r="O150" s="2" t="s">
        <v>18</v>
      </c>
      <c r="P150">
        <f t="shared" si="7"/>
        <v>2830</v>
      </c>
    </row>
    <row r="151" spans="1:16" ht="15.75" customHeight="1" x14ac:dyDescent="0.25">
      <c r="A151" s="2" t="s">
        <v>531</v>
      </c>
      <c r="B151" s="2" t="s">
        <v>13</v>
      </c>
      <c r="C151" s="4" t="s">
        <v>532</v>
      </c>
      <c r="D151" s="144" t="s">
        <v>21</v>
      </c>
      <c r="E151" s="2" t="s">
        <v>22</v>
      </c>
      <c r="F151" s="2">
        <v>4516</v>
      </c>
      <c r="G151" s="2">
        <v>836</v>
      </c>
      <c r="H151" s="2">
        <v>169</v>
      </c>
      <c r="I151" s="7">
        <v>49676</v>
      </c>
      <c r="J151" s="12">
        <f t="shared" si="6"/>
        <v>0.11114018842096787</v>
      </c>
      <c r="K151" s="7">
        <v>49257</v>
      </c>
      <c r="L151" s="2">
        <v>282</v>
      </c>
      <c r="M151" s="2" t="s">
        <v>29</v>
      </c>
      <c r="N151" t="s">
        <v>61</v>
      </c>
      <c r="O151" s="2" t="s">
        <v>37</v>
      </c>
      <c r="P151">
        <f t="shared" si="7"/>
        <v>5521</v>
      </c>
    </row>
    <row r="152" spans="1:16" ht="15.75" customHeight="1" x14ac:dyDescent="0.25">
      <c r="A152" s="2" t="s">
        <v>331</v>
      </c>
      <c r="B152" s="2" t="s">
        <v>32</v>
      </c>
      <c r="C152" s="4" t="s">
        <v>185</v>
      </c>
      <c r="D152" s="144" t="s">
        <v>51</v>
      </c>
      <c r="E152" s="2" t="s">
        <v>214</v>
      </c>
      <c r="F152" s="2">
        <v>3559</v>
      </c>
      <c r="G152" s="2">
        <v>59</v>
      </c>
      <c r="H152" s="2">
        <v>289</v>
      </c>
      <c r="I152" s="7">
        <v>35590</v>
      </c>
      <c r="J152" s="12">
        <f t="shared" si="6"/>
        <v>0.10977802753582468</v>
      </c>
      <c r="K152" s="7">
        <v>35105</v>
      </c>
      <c r="L152" s="2">
        <v>122</v>
      </c>
      <c r="M152" s="2" t="s">
        <v>36</v>
      </c>
      <c r="N152" t="s">
        <v>36</v>
      </c>
      <c r="O152" s="2" t="s">
        <v>18</v>
      </c>
      <c r="P152">
        <f t="shared" si="7"/>
        <v>3907</v>
      </c>
    </row>
    <row r="153" spans="1:16" ht="15.75" customHeight="1" x14ac:dyDescent="0.25">
      <c r="A153" s="2" t="s">
        <v>339</v>
      </c>
      <c r="B153" s="2" t="s">
        <v>42</v>
      </c>
      <c r="C153" s="4" t="s">
        <v>340</v>
      </c>
      <c r="D153" s="144" t="s">
        <v>44</v>
      </c>
      <c r="E153" s="2" t="s">
        <v>45</v>
      </c>
      <c r="F153" s="2">
        <v>3352</v>
      </c>
      <c r="G153" s="2">
        <v>941</v>
      </c>
      <c r="H153" s="2">
        <v>482</v>
      </c>
      <c r="I153" s="7">
        <v>43576</v>
      </c>
      <c r="J153" s="12">
        <f t="shared" si="6"/>
        <v>0.1095786671562328</v>
      </c>
      <c r="K153" s="7">
        <v>43338</v>
      </c>
      <c r="L153" s="2">
        <v>240</v>
      </c>
      <c r="M153" s="2" t="s">
        <v>36</v>
      </c>
      <c r="N153" t="s">
        <v>36</v>
      </c>
      <c r="O153" s="2" t="s">
        <v>37</v>
      </c>
      <c r="P153">
        <f t="shared" si="7"/>
        <v>4775</v>
      </c>
    </row>
    <row r="154" spans="1:16" ht="15.75" customHeight="1" x14ac:dyDescent="0.25">
      <c r="A154" s="2" t="s">
        <v>341</v>
      </c>
      <c r="B154" s="2" t="s">
        <v>26</v>
      </c>
      <c r="C154" s="4" t="s">
        <v>342</v>
      </c>
      <c r="D154" s="144" t="s">
        <v>34</v>
      </c>
      <c r="E154" s="2" t="s">
        <v>153</v>
      </c>
      <c r="F154" s="2">
        <v>4775</v>
      </c>
      <c r="G154" s="2">
        <v>173</v>
      </c>
      <c r="H154" s="2">
        <v>206</v>
      </c>
      <c r="I154" s="7">
        <v>47750</v>
      </c>
      <c r="J154" s="12">
        <f t="shared" si="6"/>
        <v>0.10793717277486911</v>
      </c>
      <c r="K154" s="7">
        <v>47544</v>
      </c>
      <c r="L154" s="2">
        <v>187</v>
      </c>
      <c r="M154" s="2" t="s">
        <v>29</v>
      </c>
      <c r="N154" t="s">
        <v>603</v>
      </c>
      <c r="O154" s="2" t="s">
        <v>30</v>
      </c>
      <c r="P154">
        <f t="shared" si="7"/>
        <v>5154</v>
      </c>
    </row>
    <row r="155" spans="1:16" ht="15.75" customHeight="1" x14ac:dyDescent="0.25">
      <c r="A155" s="2" t="s">
        <v>421</v>
      </c>
      <c r="B155" s="2" t="s">
        <v>13</v>
      </c>
      <c r="C155" s="4" t="s">
        <v>47</v>
      </c>
      <c r="D155" s="144" t="s">
        <v>21</v>
      </c>
      <c r="E155" s="2" t="s">
        <v>22</v>
      </c>
      <c r="F155" s="2">
        <v>941</v>
      </c>
      <c r="G155" s="2">
        <v>121</v>
      </c>
      <c r="H155" s="2">
        <v>458</v>
      </c>
      <c r="I155" s="7">
        <v>14115</v>
      </c>
      <c r="J155" s="12">
        <f t="shared" si="6"/>
        <v>0.10768685795253277</v>
      </c>
      <c r="K155" s="7">
        <v>13838</v>
      </c>
      <c r="L155" s="2">
        <v>87</v>
      </c>
      <c r="M155" s="2" t="s">
        <v>61</v>
      </c>
      <c r="N155" t="s">
        <v>61</v>
      </c>
      <c r="O155" s="2" t="s">
        <v>37</v>
      </c>
      <c r="P155">
        <f t="shared" si="7"/>
        <v>1520</v>
      </c>
    </row>
    <row r="156" spans="1:16" ht="15.75" customHeight="1" x14ac:dyDescent="0.25">
      <c r="A156" s="2" t="s">
        <v>537</v>
      </c>
      <c r="B156" s="2" t="s">
        <v>32</v>
      </c>
      <c r="C156" s="4" t="s">
        <v>538</v>
      </c>
      <c r="D156" s="144" t="s">
        <v>73</v>
      </c>
      <c r="E156" s="2" t="s">
        <v>84</v>
      </c>
      <c r="F156" s="2">
        <v>1488</v>
      </c>
      <c r="G156" s="2">
        <v>417</v>
      </c>
      <c r="H156" s="2">
        <v>168</v>
      </c>
      <c r="I156" s="7">
        <v>19344</v>
      </c>
      <c r="J156" s="12">
        <f t="shared" si="6"/>
        <v>0.1071650124069479</v>
      </c>
      <c r="K156" s="7">
        <v>18395</v>
      </c>
      <c r="L156" s="2">
        <v>30</v>
      </c>
      <c r="M156" s="2" t="s">
        <v>61</v>
      </c>
      <c r="N156" t="s">
        <v>61</v>
      </c>
      <c r="O156" s="2" t="s">
        <v>24</v>
      </c>
      <c r="P156">
        <f t="shared" si="7"/>
        <v>2073</v>
      </c>
    </row>
    <row r="157" spans="1:16" ht="15.75" customHeight="1" x14ac:dyDescent="0.25">
      <c r="A157" s="2" t="s">
        <v>149</v>
      </c>
      <c r="B157" s="2" t="s">
        <v>13</v>
      </c>
      <c r="C157" s="4" t="s">
        <v>150</v>
      </c>
      <c r="D157" s="144" t="s">
        <v>34</v>
      </c>
      <c r="E157" s="2" t="s">
        <v>148</v>
      </c>
      <c r="F157" s="2">
        <v>2164</v>
      </c>
      <c r="G157" s="2">
        <v>549</v>
      </c>
      <c r="H157" s="2">
        <v>274</v>
      </c>
      <c r="I157" s="7">
        <v>28132</v>
      </c>
      <c r="J157" s="12">
        <f t="shared" si="6"/>
        <v>0.10617801791554102</v>
      </c>
      <c r="K157" s="7">
        <v>27361</v>
      </c>
      <c r="L157" s="2">
        <v>177</v>
      </c>
      <c r="M157" s="2" t="s">
        <v>61</v>
      </c>
      <c r="N157" t="s">
        <v>29</v>
      </c>
      <c r="O157" s="2" t="s">
        <v>24</v>
      </c>
      <c r="P157">
        <f t="shared" si="7"/>
        <v>2987</v>
      </c>
    </row>
    <row r="158" spans="1:16" ht="15.75" customHeight="1" x14ac:dyDescent="0.25">
      <c r="A158" s="2" t="s">
        <v>419</v>
      </c>
      <c r="B158" s="2" t="s">
        <v>13</v>
      </c>
      <c r="C158" s="4" t="s">
        <v>304</v>
      </c>
      <c r="D158" s="144" t="s">
        <v>73</v>
      </c>
      <c r="E158" s="2" t="s">
        <v>144</v>
      </c>
      <c r="F158" s="2">
        <v>3820</v>
      </c>
      <c r="G158" s="2">
        <v>697</v>
      </c>
      <c r="H158" s="2">
        <v>268</v>
      </c>
      <c r="I158" s="7">
        <v>45840</v>
      </c>
      <c r="J158" s="12">
        <f t="shared" si="6"/>
        <v>0.1043848167539267</v>
      </c>
      <c r="K158" s="7">
        <v>45631</v>
      </c>
      <c r="L158" s="2">
        <v>171</v>
      </c>
      <c r="M158" s="2" t="s">
        <v>61</v>
      </c>
      <c r="N158" t="s">
        <v>36</v>
      </c>
      <c r="O158" s="2" t="s">
        <v>24</v>
      </c>
      <c r="P158">
        <f t="shared" si="7"/>
        <v>4785</v>
      </c>
    </row>
    <row r="159" spans="1:16" ht="15.75" customHeight="1" x14ac:dyDescent="0.25">
      <c r="A159" s="2" t="s">
        <v>49</v>
      </c>
      <c r="B159" s="2" t="s">
        <v>26</v>
      </c>
      <c r="C159" s="4" t="s">
        <v>50</v>
      </c>
      <c r="D159" s="144" t="s">
        <v>51</v>
      </c>
      <c r="E159" s="2" t="s">
        <v>52</v>
      </c>
      <c r="F159" s="2">
        <v>3929</v>
      </c>
      <c r="G159" s="2">
        <v>262</v>
      </c>
      <c r="H159" s="2">
        <v>278</v>
      </c>
      <c r="I159" s="7">
        <v>43219</v>
      </c>
      <c r="J159" s="12">
        <f t="shared" si="6"/>
        <v>0.10340359564080613</v>
      </c>
      <c r="K159" s="7">
        <v>42841</v>
      </c>
      <c r="L159" s="2">
        <v>39</v>
      </c>
      <c r="M159" s="2" t="s">
        <v>29</v>
      </c>
      <c r="N159" t="s">
        <v>29</v>
      </c>
      <c r="O159" s="2" t="s">
        <v>18</v>
      </c>
      <c r="P159">
        <f t="shared" si="7"/>
        <v>4469</v>
      </c>
    </row>
    <row r="160" spans="1:16" ht="15.75" customHeight="1" x14ac:dyDescent="0.25">
      <c r="A160" s="2" t="s">
        <v>240</v>
      </c>
      <c r="B160" s="2" t="s">
        <v>13</v>
      </c>
      <c r="C160" s="4" t="s">
        <v>241</v>
      </c>
      <c r="D160" s="144" t="s">
        <v>51</v>
      </c>
      <c r="E160" s="2" t="s">
        <v>131</v>
      </c>
      <c r="F160" s="2">
        <v>1238</v>
      </c>
      <c r="G160" s="2">
        <v>366</v>
      </c>
      <c r="H160" s="2">
        <v>444</v>
      </c>
      <c r="I160" s="7">
        <v>19808</v>
      </c>
      <c r="J160" s="12">
        <f t="shared" si="6"/>
        <v>0.10339256865912763</v>
      </c>
      <c r="K160" s="7">
        <v>19334</v>
      </c>
      <c r="L160" s="2">
        <v>123</v>
      </c>
      <c r="M160" s="2" t="s">
        <v>61</v>
      </c>
      <c r="N160" t="s">
        <v>36</v>
      </c>
      <c r="O160" s="2" t="s">
        <v>24</v>
      </c>
      <c r="P160">
        <f t="shared" si="7"/>
        <v>2048</v>
      </c>
    </row>
    <row r="161" spans="1:16" ht="15.75" customHeight="1" x14ac:dyDescent="0.25">
      <c r="A161" s="2" t="s">
        <v>79</v>
      </c>
      <c r="B161" s="2" t="s">
        <v>32</v>
      </c>
      <c r="C161" s="4" t="s">
        <v>80</v>
      </c>
      <c r="D161" s="144" t="s">
        <v>15</v>
      </c>
      <c r="E161" s="2" t="s">
        <v>81</v>
      </c>
      <c r="F161" s="2">
        <v>3000</v>
      </c>
      <c r="G161" s="2">
        <v>382</v>
      </c>
      <c r="H161" s="2">
        <v>325</v>
      </c>
      <c r="I161" s="7">
        <v>36000</v>
      </c>
      <c r="J161" s="12">
        <f t="shared" si="6"/>
        <v>0.10297222222222223</v>
      </c>
      <c r="K161" s="7">
        <v>35819</v>
      </c>
      <c r="L161" s="2">
        <v>19</v>
      </c>
      <c r="M161" s="2" t="s">
        <v>29</v>
      </c>
      <c r="N161" t="s">
        <v>608</v>
      </c>
      <c r="P161">
        <f t="shared" si="7"/>
        <v>3707</v>
      </c>
    </row>
    <row r="162" spans="1:16" ht="15.75" customHeight="1" x14ac:dyDescent="0.25">
      <c r="A162" s="2" t="s">
        <v>382</v>
      </c>
      <c r="B162" s="2" t="s">
        <v>42</v>
      </c>
      <c r="C162" s="4" t="s">
        <v>114</v>
      </c>
      <c r="D162" s="144" t="s">
        <v>51</v>
      </c>
      <c r="E162" s="2" t="s">
        <v>58</v>
      </c>
      <c r="F162" s="2">
        <v>4689</v>
      </c>
      <c r="G162" s="2">
        <v>134</v>
      </c>
      <c r="H162" s="2">
        <v>403</v>
      </c>
      <c r="I162" s="7">
        <v>51579</v>
      </c>
      <c r="J162" s="12">
        <f t="shared" ref="J162:J184" si="8">(F162+G162+H162)/I162</f>
        <v>0.10132030477519921</v>
      </c>
      <c r="K162" s="7">
        <v>50924</v>
      </c>
      <c r="L162" s="2">
        <v>173</v>
      </c>
      <c r="M162" s="2" t="s">
        <v>29</v>
      </c>
      <c r="N162" t="s">
        <v>29</v>
      </c>
      <c r="O162" s="2" t="s">
        <v>37</v>
      </c>
      <c r="P162">
        <f t="shared" si="7"/>
        <v>5226</v>
      </c>
    </row>
    <row r="163" spans="1:16" ht="15.75" customHeight="1" x14ac:dyDescent="0.25">
      <c r="A163" s="2" t="s">
        <v>514</v>
      </c>
      <c r="B163" s="2" t="s">
        <v>42</v>
      </c>
      <c r="C163" s="4" t="s">
        <v>128</v>
      </c>
      <c r="D163" s="144" t="s">
        <v>34</v>
      </c>
      <c r="E163" s="2" t="s">
        <v>70</v>
      </c>
      <c r="F163" s="2">
        <v>4182</v>
      </c>
      <c r="G163" s="2">
        <v>640</v>
      </c>
      <c r="H163" s="2">
        <v>240</v>
      </c>
      <c r="I163" s="7">
        <v>50184</v>
      </c>
      <c r="J163" s="12">
        <f t="shared" si="8"/>
        <v>0.10086880280567512</v>
      </c>
      <c r="K163" s="7">
        <v>49351</v>
      </c>
      <c r="L163" s="2">
        <v>10</v>
      </c>
      <c r="M163" s="2" t="s">
        <v>61</v>
      </c>
      <c r="N163" t="s">
        <v>36</v>
      </c>
      <c r="P163">
        <f t="shared" si="7"/>
        <v>5062</v>
      </c>
    </row>
    <row r="164" spans="1:16" ht="15.75" customHeight="1" x14ac:dyDescent="0.25">
      <c r="A164" s="2" t="s">
        <v>82</v>
      </c>
      <c r="B164" s="2" t="s">
        <v>32</v>
      </c>
      <c r="C164" s="4" t="s">
        <v>83</v>
      </c>
      <c r="D164" s="144" t="s">
        <v>73</v>
      </c>
      <c r="E164" s="2" t="s">
        <v>84</v>
      </c>
      <c r="F164" s="2">
        <v>1071</v>
      </c>
      <c r="G164" s="2">
        <v>519</v>
      </c>
      <c r="H164" s="2">
        <v>22</v>
      </c>
      <c r="I164" s="7">
        <v>16065</v>
      </c>
      <c r="J164" s="12">
        <f t="shared" si="8"/>
        <v>0.10034235916588857</v>
      </c>
      <c r="K164" s="7">
        <v>15865</v>
      </c>
      <c r="L164" s="2">
        <v>103</v>
      </c>
      <c r="M164" s="2" t="s">
        <v>29</v>
      </c>
      <c r="N164" t="s">
        <v>36</v>
      </c>
      <c r="O164" s="2" t="s">
        <v>24</v>
      </c>
      <c r="P164">
        <f t="shared" si="7"/>
        <v>1612</v>
      </c>
    </row>
    <row r="165" spans="1:16" ht="15.75" customHeight="1" x14ac:dyDescent="0.25">
      <c r="A165" s="2" t="s">
        <v>262</v>
      </c>
      <c r="B165" s="2" t="s">
        <v>13</v>
      </c>
      <c r="C165" s="4" t="s">
        <v>263</v>
      </c>
      <c r="D165" s="144" t="s">
        <v>73</v>
      </c>
      <c r="E165" s="2" t="s">
        <v>144</v>
      </c>
      <c r="F165" s="2">
        <v>4050</v>
      </c>
      <c r="G165" s="2">
        <v>871</v>
      </c>
      <c r="H165" s="2">
        <v>347</v>
      </c>
      <c r="I165" s="7">
        <v>52650</v>
      </c>
      <c r="J165" s="12">
        <f t="shared" si="8"/>
        <v>0.10005698005698006</v>
      </c>
      <c r="K165" s="7">
        <v>51755</v>
      </c>
      <c r="L165" s="2">
        <v>209</v>
      </c>
      <c r="M165" s="2" t="s">
        <v>94</v>
      </c>
      <c r="N165" t="s">
        <v>29</v>
      </c>
      <c r="O165" s="2" t="s">
        <v>37</v>
      </c>
      <c r="P165">
        <f t="shared" si="7"/>
        <v>5268</v>
      </c>
    </row>
    <row r="166" spans="1:16" ht="15.75" customHeight="1" x14ac:dyDescent="0.25">
      <c r="A166" s="2" t="s">
        <v>293</v>
      </c>
      <c r="B166" s="2" t="s">
        <v>32</v>
      </c>
      <c r="C166" s="4" t="s">
        <v>183</v>
      </c>
      <c r="D166" s="144" t="s">
        <v>44</v>
      </c>
      <c r="E166" s="2" t="s">
        <v>87</v>
      </c>
      <c r="F166" s="2">
        <v>4158</v>
      </c>
      <c r="G166" s="2">
        <v>167</v>
      </c>
      <c r="H166" s="2">
        <v>241</v>
      </c>
      <c r="I166" s="7">
        <v>45738</v>
      </c>
      <c r="J166" s="12">
        <f t="shared" si="8"/>
        <v>9.9829463465827106E-2</v>
      </c>
      <c r="K166" s="7">
        <v>45183</v>
      </c>
      <c r="L166" s="2">
        <v>142</v>
      </c>
      <c r="M166" s="2" t="s">
        <v>29</v>
      </c>
      <c r="N166" t="s">
        <v>36</v>
      </c>
      <c r="O166" s="2" t="s">
        <v>24</v>
      </c>
      <c r="P166">
        <f t="shared" si="7"/>
        <v>4566</v>
      </c>
    </row>
    <row r="167" spans="1:16" ht="15.75" customHeight="1" x14ac:dyDescent="0.25">
      <c r="A167" s="2" t="s">
        <v>252</v>
      </c>
      <c r="B167" s="2" t="s">
        <v>42</v>
      </c>
      <c r="C167" s="4" t="s">
        <v>253</v>
      </c>
      <c r="D167" s="144" t="s">
        <v>51</v>
      </c>
      <c r="E167" s="2" t="s">
        <v>58</v>
      </c>
      <c r="F167" s="2">
        <v>3689</v>
      </c>
      <c r="G167" s="2">
        <v>48</v>
      </c>
      <c r="H167" s="2">
        <v>306</v>
      </c>
      <c r="I167" s="7">
        <v>40579</v>
      </c>
      <c r="J167" s="12">
        <f t="shared" si="8"/>
        <v>9.9632815002833983E-2</v>
      </c>
      <c r="K167" s="7">
        <v>39588</v>
      </c>
      <c r="L167" s="2">
        <v>212</v>
      </c>
      <c r="M167" s="2" t="s">
        <v>61</v>
      </c>
      <c r="N167" t="s">
        <v>36</v>
      </c>
      <c r="O167" s="2" t="s">
        <v>18</v>
      </c>
      <c r="P167">
        <f t="shared" si="7"/>
        <v>4043</v>
      </c>
    </row>
    <row r="168" spans="1:16" ht="15.75" customHeight="1" x14ac:dyDescent="0.25">
      <c r="A168" s="2" t="s">
        <v>396</v>
      </c>
      <c r="B168" s="2" t="s">
        <v>26</v>
      </c>
      <c r="C168" s="4" t="s">
        <v>361</v>
      </c>
      <c r="D168" s="144" t="s">
        <v>34</v>
      </c>
      <c r="E168" s="2" t="s">
        <v>153</v>
      </c>
      <c r="F168" s="2">
        <v>4285</v>
      </c>
      <c r="G168" s="2">
        <v>886</v>
      </c>
      <c r="H168" s="2">
        <v>376</v>
      </c>
      <c r="I168" s="7">
        <v>55705</v>
      </c>
      <c r="J168" s="12">
        <f t="shared" si="8"/>
        <v>9.9578134817341346E-2</v>
      </c>
      <c r="K168" s="7">
        <v>55556</v>
      </c>
      <c r="L168" s="2">
        <v>51</v>
      </c>
      <c r="M168" s="2" t="s">
        <v>61</v>
      </c>
      <c r="N168" t="s">
        <v>29</v>
      </c>
      <c r="P168">
        <f t="shared" si="7"/>
        <v>5547</v>
      </c>
    </row>
    <row r="169" spans="1:16" ht="15.75" customHeight="1" x14ac:dyDescent="0.25">
      <c r="A169" s="2" t="s">
        <v>399</v>
      </c>
      <c r="B169" s="2" t="s">
        <v>13</v>
      </c>
      <c r="C169" s="4" t="s">
        <v>400</v>
      </c>
      <c r="D169" s="144" t="s">
        <v>51</v>
      </c>
      <c r="E169" s="2" t="s">
        <v>131</v>
      </c>
      <c r="F169" s="2">
        <v>4858</v>
      </c>
      <c r="G169" s="2">
        <v>317</v>
      </c>
      <c r="H169" s="2">
        <v>129</v>
      </c>
      <c r="I169" s="7">
        <v>53438</v>
      </c>
      <c r="J169" s="12">
        <f t="shared" si="8"/>
        <v>9.9255211647142488E-2</v>
      </c>
      <c r="K169" s="7">
        <v>52687</v>
      </c>
      <c r="L169" s="2">
        <v>223</v>
      </c>
      <c r="M169" s="2" t="s">
        <v>36</v>
      </c>
      <c r="N169" t="s">
        <v>61</v>
      </c>
      <c r="O169" s="2" t="s">
        <v>18</v>
      </c>
      <c r="P169">
        <f t="shared" si="7"/>
        <v>5304</v>
      </c>
    </row>
    <row r="170" spans="1:16" ht="15.75" customHeight="1" x14ac:dyDescent="0.25">
      <c r="A170" s="2" t="s">
        <v>357</v>
      </c>
      <c r="B170" s="2" t="s">
        <v>32</v>
      </c>
      <c r="C170" s="4" t="s">
        <v>306</v>
      </c>
      <c r="D170" s="144" t="s">
        <v>21</v>
      </c>
      <c r="E170" s="2" t="s">
        <v>112</v>
      </c>
      <c r="F170" s="2">
        <v>4771</v>
      </c>
      <c r="G170" s="2">
        <v>818</v>
      </c>
      <c r="H170" s="2">
        <v>56</v>
      </c>
      <c r="I170" s="7">
        <v>57252</v>
      </c>
      <c r="J170" s="12">
        <f t="shared" si="8"/>
        <v>9.859917557465242E-2</v>
      </c>
      <c r="K170" s="7">
        <v>56378</v>
      </c>
      <c r="L170" s="2">
        <v>150</v>
      </c>
      <c r="M170" s="2" t="s">
        <v>36</v>
      </c>
      <c r="N170" t="s">
        <v>61</v>
      </c>
      <c r="O170" s="2" t="s">
        <v>18</v>
      </c>
      <c r="P170">
        <f t="shared" si="7"/>
        <v>5645</v>
      </c>
    </row>
    <row r="171" spans="1:16" ht="15.75" customHeight="1" x14ac:dyDescent="0.25">
      <c r="A171" s="2" t="s">
        <v>138</v>
      </c>
      <c r="B171" s="2" t="s">
        <v>13</v>
      </c>
      <c r="C171" s="4" t="s">
        <v>139</v>
      </c>
      <c r="D171" s="144" t="s">
        <v>51</v>
      </c>
      <c r="E171" s="2" t="s">
        <v>131</v>
      </c>
      <c r="F171" s="2">
        <v>2358</v>
      </c>
      <c r="G171" s="2">
        <v>784</v>
      </c>
      <c r="H171" s="2">
        <v>344</v>
      </c>
      <c r="I171" s="7">
        <v>35370</v>
      </c>
      <c r="J171" s="12">
        <f t="shared" si="8"/>
        <v>9.8558100084817649E-2</v>
      </c>
      <c r="K171" s="7">
        <v>34475</v>
      </c>
      <c r="L171" s="2">
        <v>216</v>
      </c>
      <c r="M171" s="2" t="s">
        <v>29</v>
      </c>
      <c r="N171" t="s">
        <v>61</v>
      </c>
      <c r="O171" s="2" t="s">
        <v>30</v>
      </c>
      <c r="P171">
        <f t="shared" si="7"/>
        <v>3486</v>
      </c>
    </row>
    <row r="172" spans="1:16" ht="15.75" customHeight="1" x14ac:dyDescent="0.25">
      <c r="A172" s="2" t="s">
        <v>364</v>
      </c>
      <c r="B172" s="2" t="s">
        <v>26</v>
      </c>
      <c r="C172" s="4" t="s">
        <v>365</v>
      </c>
      <c r="D172" s="144" t="s">
        <v>73</v>
      </c>
      <c r="E172" s="2" t="s">
        <v>218</v>
      </c>
      <c r="F172" s="2">
        <v>1018</v>
      </c>
      <c r="G172" s="2">
        <v>447</v>
      </c>
      <c r="H172" s="2">
        <v>332</v>
      </c>
      <c r="I172" s="7">
        <v>18324</v>
      </c>
      <c r="J172" s="12">
        <f t="shared" si="8"/>
        <v>9.8068107400130972E-2</v>
      </c>
      <c r="K172" s="7">
        <v>18164</v>
      </c>
      <c r="L172" s="2">
        <v>38</v>
      </c>
      <c r="M172" s="2" t="s">
        <v>61</v>
      </c>
      <c r="N172" t="s">
        <v>61</v>
      </c>
      <c r="O172" s="2" t="s">
        <v>24</v>
      </c>
      <c r="P172">
        <f t="shared" si="7"/>
        <v>1797</v>
      </c>
    </row>
    <row r="173" spans="1:16" ht="15.75" customHeight="1" x14ac:dyDescent="0.25">
      <c r="A173" s="2" t="s">
        <v>524</v>
      </c>
      <c r="B173" s="2" t="s">
        <v>26</v>
      </c>
      <c r="C173" s="4" t="s">
        <v>525</v>
      </c>
      <c r="D173" s="144" t="s">
        <v>34</v>
      </c>
      <c r="E173" s="2" t="s">
        <v>153</v>
      </c>
      <c r="F173" s="2">
        <v>3641</v>
      </c>
      <c r="G173" s="2">
        <v>226</v>
      </c>
      <c r="H173" s="2">
        <v>46</v>
      </c>
      <c r="I173" s="7">
        <v>40051</v>
      </c>
      <c r="J173" s="12">
        <f t="shared" si="8"/>
        <v>9.7700431949264685E-2</v>
      </c>
      <c r="K173" s="7">
        <v>39319</v>
      </c>
      <c r="L173" s="2">
        <v>296</v>
      </c>
      <c r="M173" s="2" t="s">
        <v>36</v>
      </c>
      <c r="N173" t="s">
        <v>29</v>
      </c>
      <c r="O173" s="2" t="s">
        <v>30</v>
      </c>
      <c r="P173">
        <f t="shared" si="7"/>
        <v>3913</v>
      </c>
    </row>
    <row r="174" spans="1:16" ht="15.75" customHeight="1" x14ac:dyDescent="0.25">
      <c r="A174" s="2" t="s">
        <v>474</v>
      </c>
      <c r="B174" s="2" t="s">
        <v>13</v>
      </c>
      <c r="C174" s="4" t="s">
        <v>475</v>
      </c>
      <c r="D174" s="144" t="s">
        <v>51</v>
      </c>
      <c r="E174" s="2" t="s">
        <v>131</v>
      </c>
      <c r="F174" s="2">
        <v>3592</v>
      </c>
      <c r="G174" s="2">
        <v>911</v>
      </c>
      <c r="H174" s="2">
        <v>375</v>
      </c>
      <c r="I174" s="7">
        <v>50288</v>
      </c>
      <c r="J174" s="12">
        <f t="shared" si="8"/>
        <v>9.7001272669424113E-2</v>
      </c>
      <c r="K174" s="7">
        <v>49490</v>
      </c>
      <c r="L174" s="2">
        <v>32</v>
      </c>
      <c r="M174" s="2" t="s">
        <v>61</v>
      </c>
      <c r="N174" t="s">
        <v>61</v>
      </c>
      <c r="O174" s="2" t="s">
        <v>30</v>
      </c>
      <c r="P174">
        <f t="shared" si="7"/>
        <v>4878</v>
      </c>
    </row>
    <row r="175" spans="1:16" ht="15.75" customHeight="1" x14ac:dyDescent="0.25">
      <c r="A175" s="2" t="s">
        <v>387</v>
      </c>
      <c r="B175" s="2" t="s">
        <v>32</v>
      </c>
      <c r="C175" s="4" t="s">
        <v>388</v>
      </c>
      <c r="D175" s="144" t="s">
        <v>44</v>
      </c>
      <c r="E175" s="2" t="s">
        <v>87</v>
      </c>
      <c r="F175" s="2">
        <v>4523</v>
      </c>
      <c r="G175" s="2">
        <v>61</v>
      </c>
      <c r="H175" s="2">
        <v>157</v>
      </c>
      <c r="I175" s="7">
        <v>49753</v>
      </c>
      <c r="J175" s="12">
        <f t="shared" si="8"/>
        <v>9.5290736237010829E-2</v>
      </c>
      <c r="K175" s="7">
        <v>49329</v>
      </c>
      <c r="L175" s="2">
        <v>71</v>
      </c>
      <c r="M175" s="2" t="s">
        <v>36</v>
      </c>
      <c r="N175" t="s">
        <v>29</v>
      </c>
      <c r="P175">
        <f t="shared" si="7"/>
        <v>4741</v>
      </c>
    </row>
    <row r="176" spans="1:16" ht="15.75" customHeight="1" x14ac:dyDescent="0.25">
      <c r="A176" s="2" t="s">
        <v>210</v>
      </c>
      <c r="B176" s="2" t="s">
        <v>32</v>
      </c>
      <c r="C176" s="4" t="s">
        <v>211</v>
      </c>
      <c r="D176" s="144" t="s">
        <v>34</v>
      </c>
      <c r="E176" s="2" t="s">
        <v>35</v>
      </c>
      <c r="F176" s="2">
        <v>1816</v>
      </c>
      <c r="G176" s="2">
        <v>29</v>
      </c>
      <c r="H176" s="2">
        <v>41</v>
      </c>
      <c r="I176" s="7">
        <v>19976</v>
      </c>
      <c r="J176" s="12">
        <f t="shared" si="8"/>
        <v>9.4413295955146179E-2</v>
      </c>
      <c r="K176" s="7">
        <v>19262</v>
      </c>
      <c r="L176" s="2">
        <v>283</v>
      </c>
      <c r="M176" s="2" t="s">
        <v>61</v>
      </c>
      <c r="N176" t="s">
        <v>29</v>
      </c>
      <c r="O176" s="2" t="s">
        <v>37</v>
      </c>
      <c r="P176">
        <f t="shared" si="7"/>
        <v>1886</v>
      </c>
    </row>
    <row r="177" spans="1:16" ht="15.75" customHeight="1" x14ac:dyDescent="0.25">
      <c r="A177" s="2" t="s">
        <v>77</v>
      </c>
      <c r="B177" s="2" t="s">
        <v>42</v>
      </c>
      <c r="C177" s="4" t="s">
        <v>78</v>
      </c>
      <c r="D177" s="144" t="s">
        <v>21</v>
      </c>
      <c r="E177" s="2" t="s">
        <v>55</v>
      </c>
      <c r="F177" s="2">
        <v>4441</v>
      </c>
      <c r="G177" s="2">
        <v>511</v>
      </c>
      <c r="H177" s="2">
        <v>70</v>
      </c>
      <c r="I177" s="7">
        <v>53292</v>
      </c>
      <c r="J177" s="12">
        <f t="shared" si="8"/>
        <v>9.4235532537716729E-2</v>
      </c>
      <c r="K177" s="7">
        <v>53082</v>
      </c>
      <c r="L177" s="2">
        <v>159</v>
      </c>
      <c r="M177" s="2" t="s">
        <v>29</v>
      </c>
      <c r="N177" t="s">
        <v>61</v>
      </c>
      <c r="O177" s="2" t="s">
        <v>18</v>
      </c>
      <c r="P177">
        <f t="shared" si="7"/>
        <v>5022</v>
      </c>
    </row>
    <row r="178" spans="1:16" ht="15.75" customHeight="1" x14ac:dyDescent="0.25">
      <c r="A178" s="2" t="s">
        <v>311</v>
      </c>
      <c r="B178" s="2" t="s">
        <v>26</v>
      </c>
      <c r="C178" s="4" t="s">
        <v>312</v>
      </c>
      <c r="D178" s="144" t="s">
        <v>21</v>
      </c>
      <c r="E178" s="2" t="s">
        <v>103</v>
      </c>
      <c r="F178" s="2">
        <v>2746</v>
      </c>
      <c r="G178" s="2">
        <v>156</v>
      </c>
      <c r="H178" s="2">
        <v>203</v>
      </c>
      <c r="I178" s="7">
        <v>32952</v>
      </c>
      <c r="J178" s="12">
        <f t="shared" si="8"/>
        <v>9.422796795338674E-2</v>
      </c>
      <c r="K178" s="7">
        <v>32147</v>
      </c>
      <c r="L178" s="2">
        <v>147</v>
      </c>
      <c r="M178" s="2" t="s">
        <v>29</v>
      </c>
      <c r="N178" t="s">
        <v>29</v>
      </c>
      <c r="O178" s="2" t="s">
        <v>30</v>
      </c>
      <c r="P178">
        <f t="shared" si="7"/>
        <v>3105</v>
      </c>
    </row>
    <row r="179" spans="1:16" ht="15.75" customHeight="1" x14ac:dyDescent="0.25">
      <c r="A179" s="2" t="s">
        <v>190</v>
      </c>
      <c r="B179" s="2" t="s">
        <v>13</v>
      </c>
      <c r="C179" s="4" t="s">
        <v>133</v>
      </c>
      <c r="D179" s="144" t="s">
        <v>21</v>
      </c>
      <c r="E179" s="2" t="s">
        <v>22</v>
      </c>
      <c r="F179" s="2">
        <v>1292</v>
      </c>
      <c r="G179" s="2">
        <v>626</v>
      </c>
      <c r="H179" s="2">
        <v>496</v>
      </c>
      <c r="I179" s="7">
        <v>25840</v>
      </c>
      <c r="J179" s="12">
        <f t="shared" si="8"/>
        <v>9.3421052631578946E-2</v>
      </c>
      <c r="K179" s="7">
        <v>24916</v>
      </c>
      <c r="L179" s="2">
        <v>149</v>
      </c>
      <c r="M179" s="2" t="s">
        <v>29</v>
      </c>
      <c r="N179" t="s">
        <v>29</v>
      </c>
      <c r="O179" s="2" t="s">
        <v>37</v>
      </c>
      <c r="P179">
        <f t="shared" si="7"/>
        <v>2414</v>
      </c>
    </row>
    <row r="180" spans="1:16" ht="15.75" customHeight="1" x14ac:dyDescent="0.25">
      <c r="A180" s="2" t="s">
        <v>170</v>
      </c>
      <c r="B180" s="2" t="s">
        <v>32</v>
      </c>
      <c r="C180" s="4" t="s">
        <v>171</v>
      </c>
      <c r="D180" s="144" t="s">
        <v>21</v>
      </c>
      <c r="E180" s="2" t="s">
        <v>112</v>
      </c>
      <c r="F180" s="2">
        <v>2180</v>
      </c>
      <c r="G180" s="2">
        <v>263</v>
      </c>
      <c r="H180" s="2">
        <v>387</v>
      </c>
      <c r="I180" s="7">
        <v>30520</v>
      </c>
      <c r="J180" s="12">
        <f t="shared" si="8"/>
        <v>9.2726081258191345E-2</v>
      </c>
      <c r="K180" s="7">
        <v>30059</v>
      </c>
      <c r="L180" s="2">
        <v>174</v>
      </c>
      <c r="M180" s="2" t="s">
        <v>29</v>
      </c>
      <c r="N180" t="s">
        <v>608</v>
      </c>
      <c r="P180">
        <f t="shared" si="7"/>
        <v>2830</v>
      </c>
    </row>
    <row r="181" spans="1:16" ht="15.75" customHeight="1" x14ac:dyDescent="0.25">
      <c r="A181" s="2" t="s">
        <v>247</v>
      </c>
      <c r="B181" s="2" t="s">
        <v>26</v>
      </c>
      <c r="C181" s="4" t="s">
        <v>248</v>
      </c>
      <c r="D181" s="144" t="s">
        <v>73</v>
      </c>
      <c r="E181" s="2" t="s">
        <v>218</v>
      </c>
      <c r="F181" s="2">
        <v>1766</v>
      </c>
      <c r="G181" s="2">
        <v>92</v>
      </c>
      <c r="H181" s="2">
        <v>424</v>
      </c>
      <c r="I181" s="7">
        <v>24724</v>
      </c>
      <c r="J181" s="12">
        <f t="shared" si="8"/>
        <v>9.2298980747451867E-2</v>
      </c>
      <c r="K181" s="7">
        <v>24333</v>
      </c>
      <c r="L181" s="2">
        <v>52</v>
      </c>
      <c r="M181" s="2" t="s">
        <v>29</v>
      </c>
      <c r="N181" t="s">
        <v>29</v>
      </c>
      <c r="O181" s="2" t="s">
        <v>18</v>
      </c>
      <c r="P181">
        <f t="shared" si="7"/>
        <v>2282</v>
      </c>
    </row>
    <row r="182" spans="1:16" ht="15.75" customHeight="1" x14ac:dyDescent="0.25">
      <c r="A182" s="2" t="s">
        <v>162</v>
      </c>
      <c r="B182" s="2" t="s">
        <v>42</v>
      </c>
      <c r="C182" s="4" t="s">
        <v>163</v>
      </c>
      <c r="D182" s="144" t="s">
        <v>51</v>
      </c>
      <c r="E182" s="2" t="s">
        <v>58</v>
      </c>
      <c r="F182" s="2">
        <v>1226</v>
      </c>
      <c r="G182" s="2">
        <v>119</v>
      </c>
      <c r="H182" s="2">
        <v>7</v>
      </c>
      <c r="I182" s="7">
        <v>14712</v>
      </c>
      <c r="J182" s="12">
        <f t="shared" si="8"/>
        <v>9.1897770527460579E-2</v>
      </c>
      <c r="K182" s="7">
        <v>14049</v>
      </c>
      <c r="L182" s="2">
        <v>123</v>
      </c>
      <c r="M182" s="2" t="s">
        <v>36</v>
      </c>
      <c r="N182" t="s">
        <v>61</v>
      </c>
      <c r="O182" s="2" t="s">
        <v>30</v>
      </c>
      <c r="P182">
        <f t="shared" si="7"/>
        <v>1352</v>
      </c>
    </row>
    <row r="183" spans="1:16" ht="15.75" customHeight="1" x14ac:dyDescent="0.25">
      <c r="A183" s="2" t="s">
        <v>375</v>
      </c>
      <c r="B183" s="2" t="s">
        <v>32</v>
      </c>
      <c r="C183" s="4" t="s">
        <v>376</v>
      </c>
      <c r="D183" s="144" t="s">
        <v>44</v>
      </c>
      <c r="E183" s="2" t="s">
        <v>87</v>
      </c>
      <c r="F183" s="2">
        <v>3099</v>
      </c>
      <c r="G183" s="2">
        <v>694</v>
      </c>
      <c r="H183" s="2">
        <v>171</v>
      </c>
      <c r="I183" s="7">
        <v>43386</v>
      </c>
      <c r="J183" s="12">
        <f t="shared" si="8"/>
        <v>9.1365878393951966E-2</v>
      </c>
      <c r="K183" s="7">
        <v>42921</v>
      </c>
      <c r="L183" s="2">
        <v>52</v>
      </c>
      <c r="M183" s="2" t="s">
        <v>29</v>
      </c>
      <c r="N183" t="s">
        <v>61</v>
      </c>
      <c r="O183" s="2" t="s">
        <v>37</v>
      </c>
      <c r="P183">
        <f t="shared" si="7"/>
        <v>3964</v>
      </c>
    </row>
    <row r="184" spans="1:16" ht="15.75" customHeight="1" x14ac:dyDescent="0.25">
      <c r="A184" s="2" t="s">
        <v>346</v>
      </c>
      <c r="B184" s="2" t="s">
        <v>13</v>
      </c>
      <c r="C184" s="4" t="s">
        <v>347</v>
      </c>
      <c r="D184" s="144" t="s">
        <v>73</v>
      </c>
      <c r="E184" s="2" t="s">
        <v>144</v>
      </c>
      <c r="F184" s="2">
        <v>1082</v>
      </c>
      <c r="G184" s="2">
        <v>209</v>
      </c>
      <c r="H184" s="2">
        <v>484</v>
      </c>
      <c r="I184" s="7">
        <v>19476</v>
      </c>
      <c r="J184" s="12">
        <f t="shared" si="8"/>
        <v>9.1137810638734856E-2</v>
      </c>
      <c r="K184" s="7">
        <v>18654</v>
      </c>
      <c r="L184" s="2">
        <v>20</v>
      </c>
      <c r="M184" s="2" t="s">
        <v>61</v>
      </c>
      <c r="N184" t="s">
        <v>36</v>
      </c>
      <c r="O184" s="2" t="s">
        <v>24</v>
      </c>
      <c r="P184">
        <f t="shared" si="7"/>
        <v>1775</v>
      </c>
    </row>
    <row r="185" spans="1:16" ht="15.75" customHeight="1" x14ac:dyDescent="0.25">
      <c r="A185" s="2" t="s">
        <v>12</v>
      </c>
      <c r="B185" s="2" t="s">
        <v>13</v>
      </c>
      <c r="C185" s="4" t="s">
        <v>14</v>
      </c>
      <c r="D185" s="144" t="s">
        <v>15</v>
      </c>
      <c r="E185" s="2" t="s">
        <v>16</v>
      </c>
      <c r="F185" s="2">
        <v>1461</v>
      </c>
      <c r="G185" s="2">
        <v>184</v>
      </c>
      <c r="H185" s="2">
        <v>344</v>
      </c>
      <c r="I185" s="7">
        <v>21915</v>
      </c>
      <c r="J185" s="12">
        <f>((F185+G185+H185)/I185)</f>
        <v>9.0759753593429152E-2</v>
      </c>
      <c r="K185" s="7">
        <v>21675</v>
      </c>
      <c r="L185" s="2">
        <v>15</v>
      </c>
      <c r="M185" s="2" t="s">
        <v>36</v>
      </c>
      <c r="N185" t="s">
        <v>36</v>
      </c>
      <c r="O185" s="2" t="s">
        <v>18</v>
      </c>
      <c r="P185">
        <f t="shared" si="7"/>
        <v>1989</v>
      </c>
    </row>
    <row r="186" spans="1:16" ht="15.75" customHeight="1" x14ac:dyDescent="0.25">
      <c r="A186" s="2" t="s">
        <v>412</v>
      </c>
      <c r="B186" s="2" t="s">
        <v>13</v>
      </c>
      <c r="C186" s="4" t="s">
        <v>413</v>
      </c>
      <c r="D186" s="144" t="s">
        <v>15</v>
      </c>
      <c r="E186" s="2" t="s">
        <v>16</v>
      </c>
      <c r="F186" s="2">
        <v>802</v>
      </c>
      <c r="G186" s="2">
        <v>262</v>
      </c>
      <c r="H186" s="2">
        <v>244</v>
      </c>
      <c r="I186" s="7">
        <v>14436</v>
      </c>
      <c r="J186" s="12">
        <f t="shared" ref="J186:J217" si="9">(F186+G186+H186)/I186</f>
        <v>9.0606816292601824E-2</v>
      </c>
      <c r="K186" s="7">
        <v>14280</v>
      </c>
      <c r="L186" s="2">
        <v>49</v>
      </c>
      <c r="M186" s="2" t="s">
        <v>36</v>
      </c>
      <c r="N186" t="s">
        <v>29</v>
      </c>
      <c r="P186">
        <f t="shared" si="7"/>
        <v>1308</v>
      </c>
    </row>
    <row r="187" spans="1:16" ht="15.75" customHeight="1" x14ac:dyDescent="0.25">
      <c r="A187" s="2" t="s">
        <v>379</v>
      </c>
      <c r="B187" s="2" t="s">
        <v>26</v>
      </c>
      <c r="C187" s="4" t="s">
        <v>361</v>
      </c>
      <c r="D187" s="144" t="s">
        <v>21</v>
      </c>
      <c r="E187" s="2" t="s">
        <v>103</v>
      </c>
      <c r="F187" s="2">
        <v>3711</v>
      </c>
      <c r="G187" s="2">
        <v>352</v>
      </c>
      <c r="H187" s="2">
        <v>290</v>
      </c>
      <c r="I187" s="7">
        <v>48243</v>
      </c>
      <c r="J187" s="12">
        <f t="shared" si="9"/>
        <v>9.023070704558174E-2</v>
      </c>
      <c r="K187" s="7">
        <v>47579</v>
      </c>
      <c r="L187" s="2">
        <v>11</v>
      </c>
      <c r="M187" s="2" t="s">
        <v>36</v>
      </c>
      <c r="N187" t="s">
        <v>61</v>
      </c>
      <c r="O187" s="2" t="s">
        <v>30</v>
      </c>
      <c r="P187">
        <f t="shared" si="7"/>
        <v>4353</v>
      </c>
    </row>
    <row r="188" spans="1:16" ht="15.75" customHeight="1" x14ac:dyDescent="0.25">
      <c r="A188" s="2" t="s">
        <v>99</v>
      </c>
      <c r="B188" s="2" t="s">
        <v>26</v>
      </c>
      <c r="C188" s="4" t="s">
        <v>100</v>
      </c>
      <c r="D188" s="144" t="s">
        <v>15</v>
      </c>
      <c r="E188" s="2" t="s">
        <v>28</v>
      </c>
      <c r="F188" s="2">
        <v>3009</v>
      </c>
      <c r="G188" s="2">
        <v>413</v>
      </c>
      <c r="H188" s="2">
        <v>358</v>
      </c>
      <c r="I188" s="7">
        <v>42126</v>
      </c>
      <c r="J188" s="12">
        <f t="shared" si="9"/>
        <v>8.9730807577268201E-2</v>
      </c>
      <c r="K188" s="7">
        <v>41309</v>
      </c>
      <c r="L188" s="2">
        <v>211</v>
      </c>
      <c r="M188" s="2" t="s">
        <v>36</v>
      </c>
      <c r="N188" t="s">
        <v>36</v>
      </c>
      <c r="O188" s="2" t="s">
        <v>30</v>
      </c>
      <c r="P188">
        <f t="shared" si="7"/>
        <v>3780</v>
      </c>
    </row>
    <row r="189" spans="1:16" ht="15.75" customHeight="1" x14ac:dyDescent="0.25">
      <c r="A189" s="2" t="s">
        <v>297</v>
      </c>
      <c r="B189" s="2" t="s">
        <v>26</v>
      </c>
      <c r="C189" s="4" t="s">
        <v>298</v>
      </c>
      <c r="D189" s="144" t="s">
        <v>15</v>
      </c>
      <c r="E189" s="2" t="s">
        <v>28</v>
      </c>
      <c r="F189" s="2">
        <v>2936</v>
      </c>
      <c r="G189" s="2">
        <v>439</v>
      </c>
      <c r="H189" s="2">
        <v>44</v>
      </c>
      <c r="I189" s="7">
        <v>38168</v>
      </c>
      <c r="J189" s="12">
        <f t="shared" si="9"/>
        <v>8.9577656675749323E-2</v>
      </c>
      <c r="K189" s="7">
        <v>37571</v>
      </c>
      <c r="L189" s="2">
        <v>22</v>
      </c>
      <c r="M189" s="2" t="s">
        <v>61</v>
      </c>
      <c r="N189" t="s">
        <v>61</v>
      </c>
      <c r="O189" s="2" t="s">
        <v>24</v>
      </c>
      <c r="P189">
        <f t="shared" si="7"/>
        <v>3419</v>
      </c>
    </row>
    <row r="190" spans="1:16" ht="15.75" customHeight="1" x14ac:dyDescent="0.25">
      <c r="A190" s="2" t="s">
        <v>207</v>
      </c>
      <c r="B190" s="2" t="s">
        <v>32</v>
      </c>
      <c r="C190" s="4" t="s">
        <v>208</v>
      </c>
      <c r="D190" s="144" t="s">
        <v>44</v>
      </c>
      <c r="E190" s="2" t="s">
        <v>87</v>
      </c>
      <c r="F190" s="2">
        <v>3068</v>
      </c>
      <c r="G190" s="2">
        <v>137</v>
      </c>
      <c r="H190" s="2">
        <v>329</v>
      </c>
      <c r="I190" s="7">
        <v>39884</v>
      </c>
      <c r="J190" s="12">
        <f t="shared" si="9"/>
        <v>8.860696018453515E-2</v>
      </c>
      <c r="K190" s="7">
        <v>39404</v>
      </c>
      <c r="L190" s="2">
        <v>266</v>
      </c>
      <c r="M190" s="2" t="s">
        <v>29</v>
      </c>
      <c r="N190" t="s">
        <v>36</v>
      </c>
      <c r="O190" s="2" t="s">
        <v>18</v>
      </c>
      <c r="P190">
        <f t="shared" si="7"/>
        <v>3534</v>
      </c>
    </row>
    <row r="191" spans="1:16" ht="15.75" customHeight="1" x14ac:dyDescent="0.25">
      <c r="A191" s="2" t="s">
        <v>195</v>
      </c>
      <c r="B191" s="2" t="s">
        <v>26</v>
      </c>
      <c r="C191" s="4" t="s">
        <v>196</v>
      </c>
      <c r="D191" s="144" t="s">
        <v>15</v>
      </c>
      <c r="E191" s="2" t="s">
        <v>28</v>
      </c>
      <c r="F191" s="2">
        <v>296</v>
      </c>
      <c r="G191" s="2">
        <v>60</v>
      </c>
      <c r="H191" s="2">
        <v>141</v>
      </c>
      <c r="I191" s="7">
        <v>5624</v>
      </c>
      <c r="J191" s="12">
        <f t="shared" si="9"/>
        <v>8.837126600284495E-2</v>
      </c>
      <c r="K191" s="7">
        <v>5239</v>
      </c>
      <c r="L191" s="2">
        <v>88</v>
      </c>
      <c r="M191" s="2" t="s">
        <v>61</v>
      </c>
      <c r="N191" t="s">
        <v>61</v>
      </c>
      <c r="P191">
        <f t="shared" si="7"/>
        <v>497</v>
      </c>
    </row>
    <row r="192" spans="1:16" ht="15.75" customHeight="1" x14ac:dyDescent="0.25">
      <c r="A192" s="2" t="s">
        <v>53</v>
      </c>
      <c r="B192" s="2" t="s">
        <v>42</v>
      </c>
      <c r="C192" s="4" t="s">
        <v>54</v>
      </c>
      <c r="D192" s="144" t="s">
        <v>21</v>
      </c>
      <c r="E192" s="2" t="s">
        <v>55</v>
      </c>
      <c r="F192" s="2">
        <v>3784</v>
      </c>
      <c r="G192" s="2">
        <v>808</v>
      </c>
      <c r="H192" s="2">
        <v>404</v>
      </c>
      <c r="I192" s="7">
        <v>56760</v>
      </c>
      <c r="J192" s="12">
        <f t="shared" si="9"/>
        <v>8.8019732205778717E-2</v>
      </c>
      <c r="K192" s="7">
        <v>56343</v>
      </c>
      <c r="L192" s="2">
        <v>131</v>
      </c>
      <c r="M192" s="2" t="s">
        <v>61</v>
      </c>
      <c r="N192" t="s">
        <v>29</v>
      </c>
      <c r="O192" s="2" t="s">
        <v>30</v>
      </c>
      <c r="P192">
        <f t="shared" si="7"/>
        <v>4996</v>
      </c>
    </row>
    <row r="193" spans="1:16" ht="15.75" customHeight="1" x14ac:dyDescent="0.25">
      <c r="A193" s="2" t="s">
        <v>502</v>
      </c>
      <c r="B193" s="2" t="s">
        <v>32</v>
      </c>
      <c r="C193" s="4" t="s">
        <v>503</v>
      </c>
      <c r="D193" s="144" t="s">
        <v>34</v>
      </c>
      <c r="E193" s="2" t="s">
        <v>35</v>
      </c>
      <c r="F193" s="2">
        <v>4332</v>
      </c>
      <c r="G193" s="2">
        <v>771</v>
      </c>
      <c r="H193" s="2">
        <v>219</v>
      </c>
      <c r="I193" s="7">
        <v>60648</v>
      </c>
      <c r="J193" s="12">
        <f t="shared" si="9"/>
        <v>8.7752275425405618E-2</v>
      </c>
      <c r="K193" s="7">
        <v>60397</v>
      </c>
      <c r="L193" s="2">
        <v>10</v>
      </c>
      <c r="M193" s="2" t="s">
        <v>36</v>
      </c>
      <c r="N193" t="s">
        <v>29</v>
      </c>
      <c r="P193">
        <f t="shared" si="7"/>
        <v>5322</v>
      </c>
    </row>
    <row r="194" spans="1:16" ht="15.75" customHeight="1" x14ac:dyDescent="0.25">
      <c r="A194" s="2" t="s">
        <v>486</v>
      </c>
      <c r="B194" s="2" t="s">
        <v>13</v>
      </c>
      <c r="C194" s="4" t="s">
        <v>429</v>
      </c>
      <c r="D194" s="144" t="s">
        <v>51</v>
      </c>
      <c r="E194" s="2" t="s">
        <v>131</v>
      </c>
      <c r="F194" s="2">
        <v>827</v>
      </c>
      <c r="G194" s="2">
        <v>77</v>
      </c>
      <c r="H194" s="2">
        <v>402</v>
      </c>
      <c r="I194" s="7">
        <v>14886</v>
      </c>
      <c r="J194" s="12">
        <f t="shared" si="9"/>
        <v>8.7733440816874911E-2</v>
      </c>
      <c r="K194" s="7">
        <v>14129</v>
      </c>
      <c r="L194" s="2">
        <v>254</v>
      </c>
      <c r="M194" s="2" t="s">
        <v>36</v>
      </c>
      <c r="N194" t="s">
        <v>29</v>
      </c>
      <c r="O194" s="2" t="s">
        <v>30</v>
      </c>
      <c r="P194">
        <f t="shared" si="7"/>
        <v>1306</v>
      </c>
    </row>
    <row r="195" spans="1:16" ht="15.75" customHeight="1" x14ac:dyDescent="0.25">
      <c r="A195" s="2" t="s">
        <v>242</v>
      </c>
      <c r="B195" s="2" t="s">
        <v>32</v>
      </c>
      <c r="C195" s="4" t="s">
        <v>243</v>
      </c>
      <c r="D195" s="144" t="s">
        <v>51</v>
      </c>
      <c r="E195" s="2" t="s">
        <v>214</v>
      </c>
      <c r="F195" s="2">
        <v>4739</v>
      </c>
      <c r="G195" s="2">
        <v>527</v>
      </c>
      <c r="H195" s="2">
        <v>135</v>
      </c>
      <c r="I195" s="7">
        <v>61607</v>
      </c>
      <c r="J195" s="12">
        <f t="shared" si="9"/>
        <v>8.7668609086629767E-2</v>
      </c>
      <c r="K195" s="7">
        <v>61333</v>
      </c>
      <c r="L195" s="2">
        <v>36</v>
      </c>
      <c r="M195" s="2" t="s">
        <v>36</v>
      </c>
      <c r="N195" t="s">
        <v>29</v>
      </c>
      <c r="O195" s="2" t="s">
        <v>18</v>
      </c>
      <c r="P195">
        <f t="shared" ref="P195:P258" si="10">F195+G195+H195</f>
        <v>5401</v>
      </c>
    </row>
    <row r="196" spans="1:16" ht="15.75" customHeight="1" x14ac:dyDescent="0.25">
      <c r="A196" s="2" t="s">
        <v>491</v>
      </c>
      <c r="B196" s="2" t="s">
        <v>13</v>
      </c>
      <c r="C196" s="4" t="s">
        <v>492</v>
      </c>
      <c r="D196" s="144" t="s">
        <v>15</v>
      </c>
      <c r="E196" s="2" t="s">
        <v>16</v>
      </c>
      <c r="F196" s="2">
        <v>3791</v>
      </c>
      <c r="G196" s="2">
        <v>593</v>
      </c>
      <c r="H196" s="2">
        <v>228</v>
      </c>
      <c r="I196" s="7">
        <v>53074</v>
      </c>
      <c r="J196" s="12">
        <f t="shared" si="9"/>
        <v>8.6897539284772202E-2</v>
      </c>
      <c r="K196" s="7">
        <v>52613</v>
      </c>
      <c r="L196" s="2">
        <v>205</v>
      </c>
      <c r="M196" s="2" t="s">
        <v>215</v>
      </c>
      <c r="N196" t="s">
        <v>29</v>
      </c>
      <c r="O196" s="2" t="s">
        <v>37</v>
      </c>
      <c r="P196">
        <f t="shared" si="10"/>
        <v>4612</v>
      </c>
    </row>
    <row r="197" spans="1:16" ht="15.75" customHeight="1" x14ac:dyDescent="0.25">
      <c r="A197" s="2" t="s">
        <v>219</v>
      </c>
      <c r="B197" s="2" t="s">
        <v>42</v>
      </c>
      <c r="C197" s="4" t="s">
        <v>220</v>
      </c>
      <c r="D197" s="144" t="s">
        <v>51</v>
      </c>
      <c r="E197" s="2" t="s">
        <v>58</v>
      </c>
      <c r="F197" s="2">
        <v>1841</v>
      </c>
      <c r="G197" s="2">
        <v>851</v>
      </c>
      <c r="H197" s="2">
        <v>342</v>
      </c>
      <c r="I197" s="7">
        <v>34979</v>
      </c>
      <c r="J197" s="12">
        <f t="shared" si="9"/>
        <v>8.6737756939878216E-2</v>
      </c>
      <c r="K197" s="7">
        <v>34154</v>
      </c>
      <c r="L197" s="2">
        <v>255</v>
      </c>
      <c r="M197" s="2" t="s">
        <v>36</v>
      </c>
      <c r="N197" t="s">
        <v>36</v>
      </c>
      <c r="O197" s="2" t="s">
        <v>30</v>
      </c>
      <c r="P197">
        <f t="shared" si="10"/>
        <v>3034</v>
      </c>
    </row>
    <row r="198" spans="1:16" ht="15.75" customHeight="1" x14ac:dyDescent="0.25">
      <c r="A198" s="2" t="s">
        <v>350</v>
      </c>
      <c r="B198" s="2" t="s">
        <v>42</v>
      </c>
      <c r="C198" s="4" t="s">
        <v>351</v>
      </c>
      <c r="D198" s="144" t="s">
        <v>34</v>
      </c>
      <c r="E198" s="2" t="s">
        <v>70</v>
      </c>
      <c r="F198" s="2">
        <v>3430</v>
      </c>
      <c r="G198" s="2">
        <v>566</v>
      </c>
      <c r="H198" s="2">
        <v>164</v>
      </c>
      <c r="I198" s="7">
        <v>48020</v>
      </c>
      <c r="J198" s="12">
        <f t="shared" si="9"/>
        <v>8.6630570595585168E-2</v>
      </c>
      <c r="K198" s="7">
        <v>47305</v>
      </c>
      <c r="L198" s="2">
        <v>120</v>
      </c>
      <c r="M198" s="2" t="s">
        <v>36</v>
      </c>
      <c r="N198" t="s">
        <v>29</v>
      </c>
      <c r="O198" s="2" t="s">
        <v>18</v>
      </c>
      <c r="P198">
        <f t="shared" si="10"/>
        <v>4160</v>
      </c>
    </row>
    <row r="199" spans="1:16" ht="15.75" customHeight="1" x14ac:dyDescent="0.25">
      <c r="A199" s="2" t="s">
        <v>424</v>
      </c>
      <c r="B199" s="2" t="s">
        <v>26</v>
      </c>
      <c r="C199" s="4" t="s">
        <v>47</v>
      </c>
      <c r="D199" s="144" t="s">
        <v>73</v>
      </c>
      <c r="E199" s="2" t="s">
        <v>218</v>
      </c>
      <c r="F199" s="2">
        <v>2949</v>
      </c>
      <c r="G199" s="2">
        <v>476</v>
      </c>
      <c r="H199" s="2">
        <v>403</v>
      </c>
      <c r="I199" s="7">
        <v>44235</v>
      </c>
      <c r="J199" s="12">
        <f t="shared" si="9"/>
        <v>8.6537809426924378E-2</v>
      </c>
      <c r="K199" s="7">
        <v>43705</v>
      </c>
      <c r="L199" s="2">
        <v>135</v>
      </c>
      <c r="M199" s="2" t="s">
        <v>29</v>
      </c>
      <c r="N199" t="s">
        <v>61</v>
      </c>
      <c r="O199" s="2" t="s">
        <v>30</v>
      </c>
      <c r="P199">
        <f t="shared" si="10"/>
        <v>3828</v>
      </c>
    </row>
    <row r="200" spans="1:16" ht="15.75" customHeight="1" x14ac:dyDescent="0.25">
      <c r="A200" s="2" t="s">
        <v>470</v>
      </c>
      <c r="B200" s="2" t="s">
        <v>13</v>
      </c>
      <c r="C200" s="4" t="s">
        <v>76</v>
      </c>
      <c r="D200" s="144" t="s">
        <v>44</v>
      </c>
      <c r="E200" s="2" t="s">
        <v>48</v>
      </c>
      <c r="F200" s="2">
        <v>929</v>
      </c>
      <c r="G200" s="2">
        <v>192</v>
      </c>
      <c r="H200" s="2">
        <v>322</v>
      </c>
      <c r="I200" s="7">
        <v>16722</v>
      </c>
      <c r="J200" s="12">
        <f t="shared" si="9"/>
        <v>8.6293505561535699E-2</v>
      </c>
      <c r="K200" s="7">
        <v>15996</v>
      </c>
      <c r="L200" s="2">
        <v>145</v>
      </c>
      <c r="M200" s="2" t="s">
        <v>29</v>
      </c>
      <c r="N200" t="s">
        <v>36</v>
      </c>
      <c r="O200" s="2" t="s">
        <v>24</v>
      </c>
      <c r="P200">
        <f t="shared" si="10"/>
        <v>1443</v>
      </c>
    </row>
    <row r="201" spans="1:16" ht="15.75" customHeight="1" x14ac:dyDescent="0.25">
      <c r="A201" s="2" t="s">
        <v>457</v>
      </c>
      <c r="B201" s="2" t="s">
        <v>32</v>
      </c>
      <c r="C201" s="4" t="s">
        <v>432</v>
      </c>
      <c r="D201" s="144" t="s">
        <v>21</v>
      </c>
      <c r="E201" s="2" t="s">
        <v>112</v>
      </c>
      <c r="F201" s="2">
        <v>1430</v>
      </c>
      <c r="G201" s="2">
        <v>376</v>
      </c>
      <c r="H201" s="2">
        <v>33</v>
      </c>
      <c r="I201" s="7">
        <v>21450</v>
      </c>
      <c r="J201" s="12">
        <f t="shared" si="9"/>
        <v>8.5734265734265735E-2</v>
      </c>
      <c r="K201" s="7">
        <v>20509</v>
      </c>
      <c r="L201" s="2">
        <v>251</v>
      </c>
      <c r="M201" s="2" t="s">
        <v>29</v>
      </c>
      <c r="N201" t="s">
        <v>36</v>
      </c>
      <c r="O201" s="2" t="s">
        <v>24</v>
      </c>
      <c r="P201">
        <f t="shared" si="10"/>
        <v>1839</v>
      </c>
    </row>
    <row r="202" spans="1:16" ht="15.75" customHeight="1" x14ac:dyDescent="0.25">
      <c r="A202" s="2" t="s">
        <v>258</v>
      </c>
      <c r="B202" s="2" t="s">
        <v>32</v>
      </c>
      <c r="C202" s="4" t="s">
        <v>259</v>
      </c>
      <c r="D202" s="144" t="s">
        <v>51</v>
      </c>
      <c r="E202" s="2" t="s">
        <v>214</v>
      </c>
      <c r="F202" s="2">
        <v>4619</v>
      </c>
      <c r="G202" s="2">
        <v>821</v>
      </c>
      <c r="H202" s="2">
        <v>499</v>
      </c>
      <c r="I202" s="7">
        <v>69285</v>
      </c>
      <c r="J202" s="12">
        <f t="shared" si="9"/>
        <v>8.5718409468138843E-2</v>
      </c>
      <c r="K202" s="7">
        <v>69141</v>
      </c>
      <c r="L202" s="2">
        <v>298</v>
      </c>
      <c r="M202" s="2" t="s">
        <v>36</v>
      </c>
      <c r="N202" t="s">
        <v>36</v>
      </c>
      <c r="O202" s="2" t="s">
        <v>18</v>
      </c>
      <c r="P202">
        <f t="shared" si="10"/>
        <v>5939</v>
      </c>
    </row>
    <row r="203" spans="1:16" ht="15.75" customHeight="1" x14ac:dyDescent="0.25">
      <c r="A203" s="2" t="s">
        <v>212</v>
      </c>
      <c r="B203" s="2" t="s">
        <v>32</v>
      </c>
      <c r="C203" s="4" t="s">
        <v>213</v>
      </c>
      <c r="D203" s="144" t="s">
        <v>51</v>
      </c>
      <c r="E203" s="2" t="s">
        <v>214</v>
      </c>
      <c r="F203" s="2">
        <v>725</v>
      </c>
      <c r="G203" s="2">
        <v>88</v>
      </c>
      <c r="H203" s="2">
        <v>428</v>
      </c>
      <c r="I203" s="7">
        <v>14500</v>
      </c>
      <c r="J203" s="12">
        <f t="shared" si="9"/>
        <v>8.558620689655172E-2</v>
      </c>
      <c r="K203" s="7">
        <v>13637</v>
      </c>
      <c r="L203" s="2">
        <v>200</v>
      </c>
      <c r="M203" s="2" t="s">
        <v>36</v>
      </c>
      <c r="N203" t="s">
        <v>36</v>
      </c>
      <c r="O203" s="2" t="s">
        <v>30</v>
      </c>
      <c r="P203">
        <f t="shared" si="10"/>
        <v>1241</v>
      </c>
    </row>
    <row r="204" spans="1:16" ht="15.75" customHeight="1" x14ac:dyDescent="0.25">
      <c r="A204" s="2" t="s">
        <v>409</v>
      </c>
      <c r="B204" s="2" t="s">
        <v>26</v>
      </c>
      <c r="C204" s="4" t="s">
        <v>120</v>
      </c>
      <c r="D204" s="144" t="s">
        <v>44</v>
      </c>
      <c r="E204" s="2" t="s">
        <v>67</v>
      </c>
      <c r="F204" s="2">
        <v>2509</v>
      </c>
      <c r="G204" s="2">
        <v>324</v>
      </c>
      <c r="H204" s="2">
        <v>171</v>
      </c>
      <c r="I204" s="7">
        <v>35126</v>
      </c>
      <c r="J204" s="12">
        <f t="shared" si="9"/>
        <v>8.5520696919660646E-2</v>
      </c>
      <c r="K204" s="7">
        <v>34685</v>
      </c>
      <c r="L204" s="2">
        <v>277</v>
      </c>
      <c r="M204" s="2" t="s">
        <v>61</v>
      </c>
      <c r="N204" t="s">
        <v>61</v>
      </c>
      <c r="O204" s="2" t="s">
        <v>18</v>
      </c>
      <c r="P204">
        <f t="shared" si="10"/>
        <v>3004</v>
      </c>
    </row>
    <row r="205" spans="1:16" ht="15.75" customHeight="1" x14ac:dyDescent="0.25">
      <c r="A205" s="2" t="s">
        <v>392</v>
      </c>
      <c r="B205" s="2" t="s">
        <v>26</v>
      </c>
      <c r="C205" s="4" t="s">
        <v>225</v>
      </c>
      <c r="D205" s="144" t="s">
        <v>15</v>
      </c>
      <c r="E205" s="2" t="s">
        <v>28</v>
      </c>
      <c r="F205" s="2">
        <v>2728</v>
      </c>
      <c r="G205" s="2">
        <v>533</v>
      </c>
      <c r="H205" s="2">
        <v>215</v>
      </c>
      <c r="I205" s="7">
        <v>40920</v>
      </c>
      <c r="J205" s="12">
        <f t="shared" si="9"/>
        <v>8.4946236559139784E-2</v>
      </c>
      <c r="K205" s="7">
        <v>40816</v>
      </c>
      <c r="L205" s="2">
        <v>137</v>
      </c>
      <c r="M205" s="2" t="s">
        <v>61</v>
      </c>
      <c r="N205" t="s">
        <v>29</v>
      </c>
      <c r="O205" s="2" t="s">
        <v>30</v>
      </c>
      <c r="P205">
        <f t="shared" si="10"/>
        <v>3476</v>
      </c>
    </row>
    <row r="206" spans="1:16" ht="15.75" customHeight="1" x14ac:dyDescent="0.25">
      <c r="A206" s="2" t="s">
        <v>389</v>
      </c>
      <c r="B206" s="2" t="s">
        <v>42</v>
      </c>
      <c r="C206" s="4" t="s">
        <v>347</v>
      </c>
      <c r="D206" s="144" t="s">
        <v>44</v>
      </c>
      <c r="E206" s="2" t="s">
        <v>45</v>
      </c>
      <c r="F206" s="2">
        <v>4292</v>
      </c>
      <c r="G206" s="2">
        <v>51</v>
      </c>
      <c r="H206" s="2">
        <v>392</v>
      </c>
      <c r="I206" s="7">
        <v>55796</v>
      </c>
      <c r="J206" s="12">
        <f t="shared" si="9"/>
        <v>8.4862714173059003E-2</v>
      </c>
      <c r="K206" s="7">
        <v>54826</v>
      </c>
      <c r="L206" s="2">
        <v>264</v>
      </c>
      <c r="M206" s="2" t="s">
        <v>420</v>
      </c>
      <c r="N206" t="s">
        <v>61</v>
      </c>
      <c r="O206" s="2" t="s">
        <v>37</v>
      </c>
      <c r="P206">
        <f t="shared" si="10"/>
        <v>4735</v>
      </c>
    </row>
    <row r="207" spans="1:16" ht="15.75" customHeight="1" x14ac:dyDescent="0.25">
      <c r="A207" s="2" t="s">
        <v>401</v>
      </c>
      <c r="B207" s="2" t="s">
        <v>26</v>
      </c>
      <c r="C207" s="4" t="s">
        <v>273</v>
      </c>
      <c r="D207" s="144" t="s">
        <v>34</v>
      </c>
      <c r="E207" s="2" t="s">
        <v>153</v>
      </c>
      <c r="F207" s="2">
        <v>4350</v>
      </c>
      <c r="G207" s="2">
        <v>771</v>
      </c>
      <c r="H207" s="2">
        <v>7</v>
      </c>
      <c r="I207" s="7">
        <v>60900</v>
      </c>
      <c r="J207" s="12">
        <f t="shared" si="9"/>
        <v>8.4203612479474554E-2</v>
      </c>
      <c r="K207" s="7">
        <v>60592</v>
      </c>
      <c r="L207" s="2">
        <v>195</v>
      </c>
      <c r="M207" s="2" t="s">
        <v>36</v>
      </c>
      <c r="N207" t="s">
        <v>61</v>
      </c>
      <c r="O207" s="2" t="s">
        <v>18</v>
      </c>
      <c r="P207">
        <f t="shared" si="10"/>
        <v>5128</v>
      </c>
    </row>
    <row r="208" spans="1:16" ht="15.75" customHeight="1" x14ac:dyDescent="0.25">
      <c r="A208" s="2" t="s">
        <v>516</v>
      </c>
      <c r="B208" s="2" t="s">
        <v>32</v>
      </c>
      <c r="C208" s="4" t="s">
        <v>517</v>
      </c>
      <c r="D208" s="144" t="s">
        <v>15</v>
      </c>
      <c r="E208" s="2" t="s">
        <v>81</v>
      </c>
      <c r="F208" s="2">
        <v>4579</v>
      </c>
      <c r="G208" s="2">
        <v>125</v>
      </c>
      <c r="H208" s="2">
        <v>300</v>
      </c>
      <c r="I208" s="7">
        <v>59527</v>
      </c>
      <c r="J208" s="12">
        <f t="shared" si="9"/>
        <v>8.4062694239588759E-2</v>
      </c>
      <c r="K208" s="7">
        <v>59400</v>
      </c>
      <c r="L208" s="2">
        <v>269</v>
      </c>
      <c r="M208" s="2" t="s">
        <v>420</v>
      </c>
      <c r="N208" t="s">
        <v>36</v>
      </c>
      <c r="O208" s="2" t="s">
        <v>30</v>
      </c>
      <c r="P208">
        <f t="shared" si="10"/>
        <v>5004</v>
      </c>
    </row>
    <row r="209" spans="1:16" ht="15.75" customHeight="1" x14ac:dyDescent="0.25">
      <c r="A209" s="2" t="s">
        <v>549</v>
      </c>
      <c r="B209" s="2" t="s">
        <v>32</v>
      </c>
      <c r="C209" s="4" t="s">
        <v>550</v>
      </c>
      <c r="D209" s="144" t="s">
        <v>44</v>
      </c>
      <c r="E209" s="2" t="s">
        <v>87</v>
      </c>
      <c r="F209" s="2">
        <v>2107</v>
      </c>
      <c r="G209" s="2">
        <v>550</v>
      </c>
      <c r="H209" s="2">
        <v>349</v>
      </c>
      <c r="I209" s="7">
        <v>35819</v>
      </c>
      <c r="J209" s="12">
        <f t="shared" si="9"/>
        <v>8.3921940869371006E-2</v>
      </c>
      <c r="K209" s="7">
        <v>35340</v>
      </c>
      <c r="L209" s="2">
        <v>191</v>
      </c>
      <c r="M209" s="2" t="s">
        <v>29</v>
      </c>
      <c r="N209" t="s">
        <v>36</v>
      </c>
      <c r="O209" s="2" t="s">
        <v>24</v>
      </c>
      <c r="P209">
        <f t="shared" si="10"/>
        <v>3006</v>
      </c>
    </row>
    <row r="210" spans="1:16" ht="15.75" customHeight="1" x14ac:dyDescent="0.25">
      <c r="A210" s="2" t="s">
        <v>390</v>
      </c>
      <c r="B210" s="2" t="s">
        <v>13</v>
      </c>
      <c r="C210" s="4" t="s">
        <v>391</v>
      </c>
      <c r="D210" s="144" t="s">
        <v>15</v>
      </c>
      <c r="E210" s="2" t="s">
        <v>16</v>
      </c>
      <c r="F210" s="2">
        <v>1644</v>
      </c>
      <c r="G210" s="2">
        <v>546</v>
      </c>
      <c r="H210" s="2">
        <v>150</v>
      </c>
      <c r="I210" s="7">
        <v>27948</v>
      </c>
      <c r="J210" s="12">
        <f t="shared" si="9"/>
        <v>8.3726921425504502E-2</v>
      </c>
      <c r="K210" s="7">
        <v>27184</v>
      </c>
      <c r="L210" s="2">
        <v>300</v>
      </c>
      <c r="M210" s="2" t="s">
        <v>17</v>
      </c>
      <c r="N210" t="s">
        <v>36</v>
      </c>
      <c r="O210" s="2" t="s">
        <v>37</v>
      </c>
      <c r="P210">
        <f t="shared" si="10"/>
        <v>2340</v>
      </c>
    </row>
    <row r="211" spans="1:16" ht="15.75" customHeight="1" x14ac:dyDescent="0.25">
      <c r="A211" s="2" t="s">
        <v>565</v>
      </c>
      <c r="B211" s="2" t="s">
        <v>13</v>
      </c>
      <c r="C211" s="4" t="s">
        <v>317</v>
      </c>
      <c r="D211" s="144" t="s">
        <v>44</v>
      </c>
      <c r="E211" s="2" t="s">
        <v>48</v>
      </c>
      <c r="F211" s="2">
        <v>4494</v>
      </c>
      <c r="G211" s="2">
        <v>717</v>
      </c>
      <c r="H211" s="2">
        <v>45</v>
      </c>
      <c r="I211" s="7">
        <v>62916</v>
      </c>
      <c r="J211" s="12">
        <f t="shared" si="9"/>
        <v>8.3539958039290485E-2</v>
      </c>
      <c r="K211" s="7">
        <v>62688</v>
      </c>
      <c r="L211" s="2">
        <v>191</v>
      </c>
      <c r="M211" s="2" t="s">
        <v>61</v>
      </c>
      <c r="N211" t="s">
        <v>61</v>
      </c>
      <c r="O211" s="2" t="s">
        <v>18</v>
      </c>
      <c r="P211">
        <f t="shared" si="10"/>
        <v>5256</v>
      </c>
    </row>
    <row r="212" spans="1:16" ht="15.75" customHeight="1" x14ac:dyDescent="0.25">
      <c r="A212" s="2" t="s">
        <v>534</v>
      </c>
      <c r="B212" s="2" t="s">
        <v>26</v>
      </c>
      <c r="C212" s="4" t="s">
        <v>167</v>
      </c>
      <c r="D212" s="144" t="s">
        <v>73</v>
      </c>
      <c r="E212" s="2" t="s">
        <v>218</v>
      </c>
      <c r="F212" s="2">
        <v>4275</v>
      </c>
      <c r="G212" s="2">
        <v>680</v>
      </c>
      <c r="H212" s="2">
        <v>385</v>
      </c>
      <c r="I212" s="7">
        <v>64125</v>
      </c>
      <c r="J212" s="12">
        <f t="shared" si="9"/>
        <v>8.3274853801169585E-2</v>
      </c>
      <c r="K212" s="7">
        <v>63650</v>
      </c>
      <c r="L212" s="2">
        <v>104</v>
      </c>
      <c r="M212" s="2" t="s">
        <v>61</v>
      </c>
      <c r="N212" t="s">
        <v>29</v>
      </c>
      <c r="O212" s="2" t="s">
        <v>37</v>
      </c>
      <c r="P212">
        <f t="shared" si="10"/>
        <v>5340</v>
      </c>
    </row>
    <row r="213" spans="1:16" ht="15.75" customHeight="1" x14ac:dyDescent="0.25">
      <c r="A213" s="2" t="s">
        <v>505</v>
      </c>
      <c r="B213" s="2" t="s">
        <v>32</v>
      </c>
      <c r="C213" s="4" t="s">
        <v>506</v>
      </c>
      <c r="D213" s="144" t="s">
        <v>51</v>
      </c>
      <c r="E213" s="2" t="s">
        <v>214</v>
      </c>
      <c r="F213" s="2">
        <v>4853</v>
      </c>
      <c r="G213" s="2">
        <v>837</v>
      </c>
      <c r="H213" s="2">
        <v>340</v>
      </c>
      <c r="I213" s="7">
        <v>72795</v>
      </c>
      <c r="J213" s="12">
        <f t="shared" si="9"/>
        <v>8.2835359571399134E-2</v>
      </c>
      <c r="K213" s="7">
        <v>72237</v>
      </c>
      <c r="L213" s="2">
        <v>170</v>
      </c>
      <c r="M213" s="2" t="s">
        <v>29</v>
      </c>
      <c r="N213" t="s">
        <v>608</v>
      </c>
      <c r="O213" s="2" t="s">
        <v>24</v>
      </c>
      <c r="P213">
        <f t="shared" si="10"/>
        <v>6030</v>
      </c>
    </row>
    <row r="214" spans="1:16" ht="15.75" customHeight="1" x14ac:dyDescent="0.25">
      <c r="A214" s="2" t="s">
        <v>425</v>
      </c>
      <c r="B214" s="2" t="s">
        <v>13</v>
      </c>
      <c r="C214" s="4" t="s">
        <v>426</v>
      </c>
      <c r="D214" s="144" t="s">
        <v>73</v>
      </c>
      <c r="E214" s="2" t="s">
        <v>144</v>
      </c>
      <c r="F214" s="2">
        <v>3160</v>
      </c>
      <c r="G214" s="2">
        <v>204</v>
      </c>
      <c r="H214" s="2">
        <v>297</v>
      </c>
      <c r="I214" s="7">
        <v>44240</v>
      </c>
      <c r="J214" s="12">
        <f t="shared" si="9"/>
        <v>8.2753164556962022E-2</v>
      </c>
      <c r="K214" s="7">
        <v>43666</v>
      </c>
      <c r="L214" s="2">
        <v>49</v>
      </c>
      <c r="M214" s="2" t="s">
        <v>36</v>
      </c>
      <c r="N214" t="s">
        <v>36</v>
      </c>
      <c r="O214" s="2" t="s">
        <v>37</v>
      </c>
      <c r="P214">
        <f t="shared" si="10"/>
        <v>3661</v>
      </c>
    </row>
    <row r="215" spans="1:16" ht="15.75" customHeight="1" x14ac:dyDescent="0.25">
      <c r="A215" s="2" t="s">
        <v>431</v>
      </c>
      <c r="B215" s="2" t="s">
        <v>42</v>
      </c>
      <c r="C215" s="4" t="s">
        <v>432</v>
      </c>
      <c r="D215" s="144" t="s">
        <v>44</v>
      </c>
      <c r="E215" s="2" t="s">
        <v>45</v>
      </c>
      <c r="F215" s="2">
        <v>2696</v>
      </c>
      <c r="G215" s="2">
        <v>628</v>
      </c>
      <c r="H215" s="2">
        <v>443</v>
      </c>
      <c r="I215" s="7">
        <v>45832</v>
      </c>
      <c r="J215" s="12">
        <f t="shared" si="9"/>
        <v>8.21914819340199E-2</v>
      </c>
      <c r="K215" s="7">
        <v>45632</v>
      </c>
      <c r="L215" s="2">
        <v>248</v>
      </c>
      <c r="M215" s="2" t="s">
        <v>61</v>
      </c>
      <c r="N215" t="s">
        <v>36</v>
      </c>
      <c r="O215" s="2" t="s">
        <v>24</v>
      </c>
      <c r="P215">
        <f t="shared" si="10"/>
        <v>3767</v>
      </c>
    </row>
    <row r="216" spans="1:16" ht="15.75" customHeight="1" x14ac:dyDescent="0.25">
      <c r="A216" s="2" t="s">
        <v>414</v>
      </c>
      <c r="B216" s="2" t="s">
        <v>42</v>
      </c>
      <c r="C216" s="4" t="s">
        <v>415</v>
      </c>
      <c r="D216" s="144" t="s">
        <v>51</v>
      </c>
      <c r="E216" s="2" t="s">
        <v>58</v>
      </c>
      <c r="F216" s="2">
        <v>1871</v>
      </c>
      <c r="G216" s="2">
        <v>252</v>
      </c>
      <c r="H216" s="2">
        <v>335</v>
      </c>
      <c r="I216" s="7">
        <v>29936</v>
      </c>
      <c r="J216" s="12">
        <f t="shared" si="9"/>
        <v>8.2108498129342594E-2</v>
      </c>
      <c r="K216" s="7">
        <v>29576</v>
      </c>
      <c r="L216" s="2">
        <v>288</v>
      </c>
      <c r="M216" s="2" t="s">
        <v>36</v>
      </c>
      <c r="N216" t="s">
        <v>29</v>
      </c>
      <c r="O216" s="2" t="s">
        <v>24</v>
      </c>
      <c r="P216">
        <f t="shared" si="10"/>
        <v>2458</v>
      </c>
    </row>
    <row r="217" spans="1:16" ht="15.75" customHeight="1" x14ac:dyDescent="0.25">
      <c r="A217" s="2" t="s">
        <v>206</v>
      </c>
      <c r="B217" s="2" t="s">
        <v>13</v>
      </c>
      <c r="C217" s="4" t="s">
        <v>163</v>
      </c>
      <c r="D217" s="144" t="s">
        <v>51</v>
      </c>
      <c r="E217" s="2" t="s">
        <v>131</v>
      </c>
      <c r="F217" s="2">
        <v>954</v>
      </c>
      <c r="G217" s="2">
        <v>324</v>
      </c>
      <c r="H217" s="2">
        <v>288</v>
      </c>
      <c r="I217" s="7">
        <v>19080</v>
      </c>
      <c r="J217" s="12">
        <f t="shared" si="9"/>
        <v>8.2075471698113203E-2</v>
      </c>
      <c r="K217" s="7">
        <v>18859</v>
      </c>
      <c r="L217" s="2">
        <v>21</v>
      </c>
      <c r="M217" s="2" t="s">
        <v>36</v>
      </c>
      <c r="N217" t="s">
        <v>29</v>
      </c>
      <c r="O217" s="2" t="s">
        <v>24</v>
      </c>
      <c r="P217">
        <f t="shared" si="10"/>
        <v>1566</v>
      </c>
    </row>
    <row r="218" spans="1:16" ht="15.75" customHeight="1" x14ac:dyDescent="0.25">
      <c r="A218" s="2" t="s">
        <v>180</v>
      </c>
      <c r="B218" s="2" t="s">
        <v>42</v>
      </c>
      <c r="C218" s="4" t="s">
        <v>181</v>
      </c>
      <c r="D218" s="144" t="s">
        <v>51</v>
      </c>
      <c r="E218" s="2" t="s">
        <v>58</v>
      </c>
      <c r="F218" s="2">
        <v>2878</v>
      </c>
      <c r="G218" s="2">
        <v>248</v>
      </c>
      <c r="H218" s="2">
        <v>416</v>
      </c>
      <c r="I218" s="7">
        <v>43170</v>
      </c>
      <c r="J218" s="12">
        <f t="shared" ref="J218:J234" si="11">(F218+G218+H218)/I218</f>
        <v>8.2047718322909427E-2</v>
      </c>
      <c r="K218" s="7">
        <v>42667</v>
      </c>
      <c r="L218" s="2">
        <v>75</v>
      </c>
      <c r="M218" s="2" t="s">
        <v>29</v>
      </c>
      <c r="N218" t="s">
        <v>29</v>
      </c>
      <c r="P218">
        <f t="shared" si="10"/>
        <v>3542</v>
      </c>
    </row>
    <row r="219" spans="1:16" ht="15.75" customHeight="1" x14ac:dyDescent="0.25">
      <c r="A219" s="2" t="s">
        <v>453</v>
      </c>
      <c r="B219" s="2" t="s">
        <v>32</v>
      </c>
      <c r="C219" s="4" t="s">
        <v>454</v>
      </c>
      <c r="D219" s="144" t="s">
        <v>34</v>
      </c>
      <c r="E219" s="2" t="s">
        <v>35</v>
      </c>
      <c r="F219" s="2">
        <v>4808</v>
      </c>
      <c r="G219" s="2">
        <v>772</v>
      </c>
      <c r="H219" s="2">
        <v>320</v>
      </c>
      <c r="I219" s="7">
        <v>72120</v>
      </c>
      <c r="J219" s="12">
        <f t="shared" si="11"/>
        <v>8.1808097615085965E-2</v>
      </c>
      <c r="K219" s="7">
        <v>71696</v>
      </c>
      <c r="L219" s="2">
        <v>195</v>
      </c>
      <c r="M219" s="2" t="s">
        <v>29</v>
      </c>
      <c r="N219" t="s">
        <v>36</v>
      </c>
      <c r="O219" s="2" t="s">
        <v>37</v>
      </c>
      <c r="P219">
        <f t="shared" si="10"/>
        <v>5900</v>
      </c>
    </row>
    <row r="220" spans="1:16" ht="15.75" customHeight="1" x14ac:dyDescent="0.25">
      <c r="A220" s="2" t="s">
        <v>203</v>
      </c>
      <c r="B220" s="2" t="s">
        <v>13</v>
      </c>
      <c r="C220" s="4" t="s">
        <v>204</v>
      </c>
      <c r="D220" s="144" t="s">
        <v>34</v>
      </c>
      <c r="E220" s="2" t="s">
        <v>148</v>
      </c>
      <c r="F220" s="2">
        <v>1121</v>
      </c>
      <c r="G220" s="2">
        <v>135</v>
      </c>
      <c r="H220" s="2">
        <v>18</v>
      </c>
      <c r="I220" s="7">
        <v>15694</v>
      </c>
      <c r="J220" s="12">
        <f t="shared" si="11"/>
        <v>8.1177520071364848E-2</v>
      </c>
      <c r="K220" s="7">
        <v>14957</v>
      </c>
      <c r="L220" s="2">
        <v>99</v>
      </c>
      <c r="M220" s="2" t="s">
        <v>29</v>
      </c>
      <c r="N220" t="s">
        <v>36</v>
      </c>
      <c r="O220" s="2" t="s">
        <v>37</v>
      </c>
      <c r="P220">
        <f t="shared" si="10"/>
        <v>1274</v>
      </c>
    </row>
    <row r="221" spans="1:16" ht="15.75" customHeight="1" x14ac:dyDescent="0.25">
      <c r="A221" s="2" t="s">
        <v>166</v>
      </c>
      <c r="B221" s="2" t="s">
        <v>13</v>
      </c>
      <c r="C221" s="4" t="s">
        <v>167</v>
      </c>
      <c r="D221" s="144" t="s">
        <v>73</v>
      </c>
      <c r="E221" s="2" t="s">
        <v>144</v>
      </c>
      <c r="F221" s="2">
        <v>2825</v>
      </c>
      <c r="G221" s="2">
        <v>535</v>
      </c>
      <c r="H221" s="2">
        <v>295</v>
      </c>
      <c r="I221" s="7">
        <v>45200</v>
      </c>
      <c r="J221" s="12">
        <f t="shared" si="11"/>
        <v>8.0862831858407078E-2</v>
      </c>
      <c r="K221" s="7">
        <v>44739</v>
      </c>
      <c r="L221" s="2">
        <v>169</v>
      </c>
      <c r="M221" s="2" t="s">
        <v>36</v>
      </c>
      <c r="N221" t="s">
        <v>61</v>
      </c>
      <c r="P221">
        <f t="shared" si="10"/>
        <v>3655</v>
      </c>
    </row>
    <row r="222" spans="1:16" ht="15.75" customHeight="1" x14ac:dyDescent="0.25">
      <c r="A222" s="2" t="s">
        <v>287</v>
      </c>
      <c r="B222" s="2" t="s">
        <v>32</v>
      </c>
      <c r="C222" s="4" t="s">
        <v>273</v>
      </c>
      <c r="D222" s="144" t="s">
        <v>21</v>
      </c>
      <c r="E222" s="2" t="s">
        <v>112</v>
      </c>
      <c r="F222" s="2">
        <v>3432</v>
      </c>
      <c r="G222" s="2">
        <v>869</v>
      </c>
      <c r="H222" s="2">
        <v>123</v>
      </c>
      <c r="I222" s="7">
        <v>54912</v>
      </c>
      <c r="J222" s="12">
        <f t="shared" si="11"/>
        <v>8.0565268065268064E-2</v>
      </c>
      <c r="K222" s="7">
        <v>53916</v>
      </c>
      <c r="L222" s="2">
        <v>264</v>
      </c>
      <c r="M222" s="2" t="s">
        <v>29</v>
      </c>
      <c r="N222" t="s">
        <v>61</v>
      </c>
      <c r="P222">
        <f t="shared" si="10"/>
        <v>4424</v>
      </c>
    </row>
    <row r="223" spans="1:16" ht="15.75" customHeight="1" x14ac:dyDescent="0.25">
      <c r="A223" s="2" t="s">
        <v>90</v>
      </c>
      <c r="B223" s="2" t="s">
        <v>42</v>
      </c>
      <c r="C223" s="4" t="s">
        <v>91</v>
      </c>
      <c r="D223" s="144" t="s">
        <v>21</v>
      </c>
      <c r="E223" s="2" t="s">
        <v>55</v>
      </c>
      <c r="F223" s="2">
        <v>1570</v>
      </c>
      <c r="G223" s="2">
        <v>187</v>
      </c>
      <c r="H223" s="2">
        <v>260</v>
      </c>
      <c r="I223" s="7">
        <v>25120</v>
      </c>
      <c r="J223" s="12">
        <f t="shared" si="11"/>
        <v>8.0294585987261149E-2</v>
      </c>
      <c r="K223" s="7">
        <v>24613</v>
      </c>
      <c r="L223" s="2">
        <v>133</v>
      </c>
      <c r="M223" s="2" t="s">
        <v>444</v>
      </c>
      <c r="N223" t="s">
        <v>29</v>
      </c>
      <c r="O223" s="2" t="s">
        <v>18</v>
      </c>
      <c r="P223">
        <f t="shared" si="10"/>
        <v>2017</v>
      </c>
    </row>
    <row r="224" spans="1:16" ht="15.75" customHeight="1" x14ac:dyDescent="0.25">
      <c r="A224" s="2" t="s">
        <v>282</v>
      </c>
      <c r="B224" s="2" t="s">
        <v>42</v>
      </c>
      <c r="C224" s="4" t="s">
        <v>281</v>
      </c>
      <c r="D224" s="144" t="s">
        <v>51</v>
      </c>
      <c r="E224" s="2" t="s">
        <v>58</v>
      </c>
      <c r="F224" s="2">
        <v>4551</v>
      </c>
      <c r="G224" s="2">
        <v>714</v>
      </c>
      <c r="H224" s="2">
        <v>207</v>
      </c>
      <c r="I224" s="7">
        <v>68265</v>
      </c>
      <c r="J224" s="12">
        <f t="shared" si="11"/>
        <v>8.0158206987475278E-2</v>
      </c>
      <c r="K224" s="7">
        <v>67754</v>
      </c>
      <c r="L224" s="2">
        <v>57</v>
      </c>
      <c r="M224" s="2" t="s">
        <v>29</v>
      </c>
      <c r="N224" t="s">
        <v>603</v>
      </c>
      <c r="P224">
        <f t="shared" si="10"/>
        <v>5472</v>
      </c>
    </row>
    <row r="225" spans="1:16" ht="15.75" customHeight="1" x14ac:dyDescent="0.25">
      <c r="A225" s="2" t="s">
        <v>497</v>
      </c>
      <c r="B225" s="2" t="s">
        <v>42</v>
      </c>
      <c r="C225" s="4" t="s">
        <v>290</v>
      </c>
      <c r="D225" s="144" t="s">
        <v>51</v>
      </c>
      <c r="E225" s="2" t="s">
        <v>58</v>
      </c>
      <c r="F225" s="2">
        <v>3090</v>
      </c>
      <c r="G225" s="2">
        <v>697</v>
      </c>
      <c r="H225" s="2">
        <v>164</v>
      </c>
      <c r="I225" s="7">
        <v>49440</v>
      </c>
      <c r="J225" s="12">
        <f t="shared" si="11"/>
        <v>7.9915048543689318E-2</v>
      </c>
      <c r="K225" s="7">
        <v>48524</v>
      </c>
      <c r="L225" s="2">
        <v>25</v>
      </c>
      <c r="M225" s="2" t="s">
        <v>29</v>
      </c>
      <c r="N225" t="s">
        <v>36</v>
      </c>
      <c r="O225" s="2" t="s">
        <v>30</v>
      </c>
      <c r="P225">
        <f t="shared" si="10"/>
        <v>3951</v>
      </c>
    </row>
    <row r="226" spans="1:16" ht="15.75" customHeight="1" x14ac:dyDescent="0.25">
      <c r="A226" s="2" t="s">
        <v>232</v>
      </c>
      <c r="B226" s="2" t="s">
        <v>42</v>
      </c>
      <c r="C226" s="4" t="s">
        <v>233</v>
      </c>
      <c r="D226" s="144" t="s">
        <v>51</v>
      </c>
      <c r="E226" s="2" t="s">
        <v>58</v>
      </c>
      <c r="F226" s="2">
        <v>1263</v>
      </c>
      <c r="G226" s="2">
        <v>397</v>
      </c>
      <c r="H226" s="2">
        <v>357</v>
      </c>
      <c r="I226" s="7">
        <v>25260</v>
      </c>
      <c r="J226" s="12">
        <f t="shared" si="11"/>
        <v>7.984956452889945E-2</v>
      </c>
      <c r="K226" s="7">
        <v>24615</v>
      </c>
      <c r="L226" s="2">
        <v>137</v>
      </c>
      <c r="M226" s="2" t="s">
        <v>36</v>
      </c>
      <c r="N226" t="s">
        <v>29</v>
      </c>
      <c r="P226">
        <f t="shared" si="10"/>
        <v>2017</v>
      </c>
    </row>
    <row r="227" spans="1:16" ht="15.75" customHeight="1" x14ac:dyDescent="0.25">
      <c r="A227" s="2" t="s">
        <v>526</v>
      </c>
      <c r="B227" s="2" t="s">
        <v>13</v>
      </c>
      <c r="C227" s="4" t="s">
        <v>335</v>
      </c>
      <c r="D227" s="144" t="s">
        <v>44</v>
      </c>
      <c r="E227" s="2" t="s">
        <v>48</v>
      </c>
      <c r="F227" s="2">
        <v>3535</v>
      </c>
      <c r="G227" s="2">
        <v>494</v>
      </c>
      <c r="H227" s="2">
        <v>152</v>
      </c>
      <c r="I227" s="7">
        <v>53025</v>
      </c>
      <c r="J227" s="12">
        <f t="shared" si="11"/>
        <v>7.8849599245638849E-2</v>
      </c>
      <c r="K227" s="7">
        <v>52791</v>
      </c>
      <c r="L227" s="2">
        <v>44</v>
      </c>
      <c r="M227" s="2" t="s">
        <v>29</v>
      </c>
      <c r="N227" t="s">
        <v>603</v>
      </c>
      <c r="P227">
        <f t="shared" si="10"/>
        <v>4181</v>
      </c>
    </row>
    <row r="228" spans="1:16" ht="15.75" customHeight="1" x14ac:dyDescent="0.25">
      <c r="A228" s="2" t="s">
        <v>154</v>
      </c>
      <c r="B228" s="2" t="s">
        <v>42</v>
      </c>
      <c r="C228" s="4" t="s">
        <v>155</v>
      </c>
      <c r="D228" s="144" t="s">
        <v>44</v>
      </c>
      <c r="E228" s="2" t="s">
        <v>45</v>
      </c>
      <c r="F228" s="2">
        <v>2200</v>
      </c>
      <c r="G228" s="2">
        <v>504</v>
      </c>
      <c r="H228" s="2">
        <v>239</v>
      </c>
      <c r="I228" s="7">
        <v>37400</v>
      </c>
      <c r="J228" s="12">
        <f t="shared" si="11"/>
        <v>7.8689839572192513E-2</v>
      </c>
      <c r="K228" s="7">
        <v>36938</v>
      </c>
      <c r="L228" s="2">
        <v>225</v>
      </c>
      <c r="M228" s="2" t="s">
        <v>61</v>
      </c>
      <c r="N228" t="s">
        <v>29</v>
      </c>
      <c r="O228" s="2" t="s">
        <v>30</v>
      </c>
      <c r="P228">
        <f t="shared" si="10"/>
        <v>2943</v>
      </c>
    </row>
    <row r="229" spans="1:16" ht="15.75" customHeight="1" x14ac:dyDescent="0.25">
      <c r="A229" s="2" t="s">
        <v>209</v>
      </c>
      <c r="B229" s="2" t="s">
        <v>32</v>
      </c>
      <c r="C229" s="4" t="s">
        <v>155</v>
      </c>
      <c r="D229" s="144" t="s">
        <v>34</v>
      </c>
      <c r="E229" s="2" t="s">
        <v>35</v>
      </c>
      <c r="F229" s="2">
        <v>2103</v>
      </c>
      <c r="G229" s="2">
        <v>892</v>
      </c>
      <c r="H229" s="2">
        <v>103</v>
      </c>
      <c r="I229" s="7">
        <v>39957</v>
      </c>
      <c r="J229" s="12">
        <f t="shared" si="11"/>
        <v>7.7533348349475686E-2</v>
      </c>
      <c r="K229" s="7">
        <v>39466</v>
      </c>
      <c r="L229" s="2">
        <v>28</v>
      </c>
      <c r="M229" s="2" t="s">
        <v>36</v>
      </c>
      <c r="N229" t="s">
        <v>61</v>
      </c>
      <c r="O229" s="2" t="s">
        <v>18</v>
      </c>
      <c r="P229">
        <f t="shared" si="10"/>
        <v>3098</v>
      </c>
    </row>
    <row r="230" spans="1:16" ht="15.75" customHeight="1" x14ac:dyDescent="0.25">
      <c r="A230" s="2" t="s">
        <v>456</v>
      </c>
      <c r="B230" s="2" t="s">
        <v>42</v>
      </c>
      <c r="C230" s="4" t="s">
        <v>314</v>
      </c>
      <c r="D230" s="144" t="s">
        <v>15</v>
      </c>
      <c r="E230" s="2" t="s">
        <v>64</v>
      </c>
      <c r="F230" s="2">
        <v>3663</v>
      </c>
      <c r="G230" s="2">
        <v>17</v>
      </c>
      <c r="H230" s="2">
        <v>295</v>
      </c>
      <c r="I230" s="7">
        <v>51282</v>
      </c>
      <c r="J230" s="12">
        <f t="shared" si="11"/>
        <v>7.7512577512577507E-2</v>
      </c>
      <c r="K230" s="7">
        <v>50567</v>
      </c>
      <c r="L230" s="2">
        <v>84</v>
      </c>
      <c r="M230" s="2" t="s">
        <v>29</v>
      </c>
      <c r="N230" t="s">
        <v>608</v>
      </c>
      <c r="P230">
        <f t="shared" si="10"/>
        <v>3975</v>
      </c>
    </row>
    <row r="231" spans="1:16" ht="15.75" customHeight="1" x14ac:dyDescent="0.25">
      <c r="A231" s="2" t="s">
        <v>327</v>
      </c>
      <c r="B231" s="2" t="s">
        <v>13</v>
      </c>
      <c r="C231" s="4" t="s">
        <v>328</v>
      </c>
      <c r="D231" s="144" t="s">
        <v>73</v>
      </c>
      <c r="E231" s="2" t="s">
        <v>144</v>
      </c>
      <c r="F231" s="2">
        <v>1702</v>
      </c>
      <c r="G231" s="2">
        <v>750</v>
      </c>
      <c r="H231" s="2">
        <v>179</v>
      </c>
      <c r="I231" s="7">
        <v>34040</v>
      </c>
      <c r="J231" s="12">
        <f t="shared" si="11"/>
        <v>7.7291421856639245E-2</v>
      </c>
      <c r="K231" s="7">
        <v>33174</v>
      </c>
      <c r="L231" s="2">
        <v>76</v>
      </c>
      <c r="M231" s="2" t="s">
        <v>36</v>
      </c>
      <c r="N231" t="s">
        <v>61</v>
      </c>
      <c r="O231" s="2" t="s">
        <v>30</v>
      </c>
      <c r="P231">
        <f t="shared" si="10"/>
        <v>2631</v>
      </c>
    </row>
    <row r="232" spans="1:16" ht="15.75" customHeight="1" x14ac:dyDescent="0.25">
      <c r="A232" s="2" t="s">
        <v>88</v>
      </c>
      <c r="B232" s="2" t="s">
        <v>32</v>
      </c>
      <c r="C232" s="4" t="s">
        <v>89</v>
      </c>
      <c r="D232" s="144" t="s">
        <v>15</v>
      </c>
      <c r="E232" s="2" t="s">
        <v>81</v>
      </c>
      <c r="F232" s="2">
        <v>4838</v>
      </c>
      <c r="G232" s="2">
        <v>640</v>
      </c>
      <c r="H232" s="2">
        <v>128</v>
      </c>
      <c r="I232" s="7">
        <v>72570</v>
      </c>
      <c r="J232" s="12">
        <f t="shared" si="11"/>
        <v>7.7249552156538517E-2</v>
      </c>
      <c r="K232" s="7">
        <v>72396</v>
      </c>
      <c r="L232" s="2">
        <v>83</v>
      </c>
      <c r="M232" s="2" t="s">
        <v>61</v>
      </c>
      <c r="N232" t="s">
        <v>61</v>
      </c>
      <c r="O232" s="2" t="s">
        <v>18</v>
      </c>
      <c r="P232">
        <f t="shared" si="10"/>
        <v>5606</v>
      </c>
    </row>
    <row r="233" spans="1:16" ht="15.75" customHeight="1" x14ac:dyDescent="0.25">
      <c r="A233" s="2" t="s">
        <v>92</v>
      </c>
      <c r="B233" s="2" t="s">
        <v>42</v>
      </c>
      <c r="C233" s="4" t="s">
        <v>93</v>
      </c>
      <c r="D233" s="144" t="s">
        <v>73</v>
      </c>
      <c r="E233" s="2" t="s">
        <v>74</v>
      </c>
      <c r="F233" s="2">
        <v>1606</v>
      </c>
      <c r="G233" s="2">
        <v>547</v>
      </c>
      <c r="H233" s="2">
        <v>316</v>
      </c>
      <c r="I233" s="7">
        <v>32120</v>
      </c>
      <c r="J233" s="12">
        <f t="shared" si="11"/>
        <v>7.6867995018679955E-2</v>
      </c>
      <c r="K233" s="7">
        <v>31736</v>
      </c>
      <c r="L233" s="2">
        <v>225</v>
      </c>
      <c r="M233" s="2" t="s">
        <v>36</v>
      </c>
      <c r="N233" t="s">
        <v>29</v>
      </c>
      <c r="O233" s="2" t="s">
        <v>37</v>
      </c>
      <c r="P233">
        <f t="shared" si="10"/>
        <v>2469</v>
      </c>
    </row>
    <row r="234" spans="1:16" ht="15.75" customHeight="1" x14ac:dyDescent="0.25">
      <c r="A234" s="2" t="s">
        <v>121</v>
      </c>
      <c r="B234" s="2" t="s">
        <v>32</v>
      </c>
      <c r="C234" s="4" t="s">
        <v>122</v>
      </c>
      <c r="D234" s="144" t="s">
        <v>34</v>
      </c>
      <c r="E234" s="2" t="s">
        <v>35</v>
      </c>
      <c r="F234" s="2">
        <v>4518</v>
      </c>
      <c r="G234" s="2">
        <v>285</v>
      </c>
      <c r="H234" s="2">
        <v>383</v>
      </c>
      <c r="I234" s="7">
        <v>67770</v>
      </c>
      <c r="J234" s="12">
        <f t="shared" si="11"/>
        <v>7.6523535487678915E-2</v>
      </c>
      <c r="K234" s="7">
        <v>67621</v>
      </c>
      <c r="L234" s="2">
        <v>31</v>
      </c>
      <c r="M234" s="2" t="s">
        <v>61</v>
      </c>
      <c r="N234" t="s">
        <v>36</v>
      </c>
      <c r="O234" s="2" t="s">
        <v>37</v>
      </c>
      <c r="P234">
        <f t="shared" si="10"/>
        <v>5186</v>
      </c>
    </row>
    <row r="235" spans="1:16" ht="15.75" customHeight="1" x14ac:dyDescent="0.25">
      <c r="A235" s="2" t="s">
        <v>19</v>
      </c>
      <c r="B235" s="2" t="s">
        <v>13</v>
      </c>
      <c r="C235" s="4" t="s">
        <v>20</v>
      </c>
      <c r="D235" s="144" t="s">
        <v>21</v>
      </c>
      <c r="E235" s="2" t="s">
        <v>22</v>
      </c>
      <c r="F235" s="2">
        <v>4054</v>
      </c>
      <c r="G235" s="2">
        <v>389</v>
      </c>
      <c r="H235" s="2">
        <v>493</v>
      </c>
      <c r="I235" s="7">
        <v>64864</v>
      </c>
      <c r="J235" s="12">
        <f>((F235+G235+H235)/I235)</f>
        <v>7.6097681302417369E-2</v>
      </c>
      <c r="K235" s="7">
        <v>64383</v>
      </c>
      <c r="L235" s="2">
        <v>117</v>
      </c>
      <c r="M235" s="2" t="s">
        <v>29</v>
      </c>
      <c r="N235" t="s">
        <v>61</v>
      </c>
      <c r="P235">
        <f t="shared" si="10"/>
        <v>4936</v>
      </c>
    </row>
    <row r="236" spans="1:16" ht="15.75" customHeight="1" x14ac:dyDescent="0.25">
      <c r="A236" s="2" t="s">
        <v>461</v>
      </c>
      <c r="B236" s="2" t="s">
        <v>42</v>
      </c>
      <c r="C236" s="4" t="s">
        <v>462</v>
      </c>
      <c r="D236" s="144" t="s">
        <v>21</v>
      </c>
      <c r="E236" s="2" t="s">
        <v>55</v>
      </c>
      <c r="F236" s="2">
        <v>1272</v>
      </c>
      <c r="G236" s="2">
        <v>465</v>
      </c>
      <c r="H236" s="2">
        <v>99</v>
      </c>
      <c r="I236" s="7">
        <v>24168</v>
      </c>
      <c r="J236" s="12">
        <f t="shared" ref="J236:J267" si="12">(F236+G236+H236)/I236</f>
        <v>7.5968222442899705E-2</v>
      </c>
      <c r="K236" s="7">
        <v>23719</v>
      </c>
      <c r="L236" s="2">
        <v>42</v>
      </c>
      <c r="M236" s="2" t="s">
        <v>29</v>
      </c>
      <c r="N236" t="s">
        <v>36</v>
      </c>
      <c r="O236" s="2" t="s">
        <v>30</v>
      </c>
      <c r="P236">
        <f t="shared" si="10"/>
        <v>1836</v>
      </c>
    </row>
    <row r="237" spans="1:16" ht="15.75" customHeight="1" x14ac:dyDescent="0.25">
      <c r="A237" s="2" t="s">
        <v>65</v>
      </c>
      <c r="B237" s="2" t="s">
        <v>26</v>
      </c>
      <c r="C237" s="4" t="s">
        <v>66</v>
      </c>
      <c r="D237" s="144" t="s">
        <v>44</v>
      </c>
      <c r="E237" s="2" t="s">
        <v>67</v>
      </c>
      <c r="F237" s="2">
        <v>1171</v>
      </c>
      <c r="G237" s="2">
        <v>286</v>
      </c>
      <c r="H237" s="2">
        <v>231</v>
      </c>
      <c r="I237" s="7">
        <v>22249</v>
      </c>
      <c r="J237" s="12">
        <f t="shared" si="12"/>
        <v>7.5868578363072495E-2</v>
      </c>
      <c r="K237" s="7">
        <v>21282</v>
      </c>
      <c r="L237" s="2">
        <v>114</v>
      </c>
      <c r="M237" s="2" t="s">
        <v>465</v>
      </c>
      <c r="N237" t="s">
        <v>36</v>
      </c>
      <c r="O237" s="2" t="s">
        <v>24</v>
      </c>
      <c r="P237">
        <f t="shared" si="10"/>
        <v>1688</v>
      </c>
    </row>
    <row r="238" spans="1:16" ht="15.75" customHeight="1" x14ac:dyDescent="0.25">
      <c r="A238" s="2" t="s">
        <v>75</v>
      </c>
      <c r="B238" s="2" t="s">
        <v>42</v>
      </c>
      <c r="C238" s="4" t="s">
        <v>76</v>
      </c>
      <c r="D238" s="144" t="s">
        <v>21</v>
      </c>
      <c r="E238" s="2" t="s">
        <v>55</v>
      </c>
      <c r="F238" s="2">
        <v>3452</v>
      </c>
      <c r="G238" s="2">
        <v>377</v>
      </c>
      <c r="H238" s="2">
        <v>360</v>
      </c>
      <c r="I238" s="7">
        <v>55232</v>
      </c>
      <c r="J238" s="12">
        <f t="shared" si="12"/>
        <v>7.5843713789107758E-2</v>
      </c>
      <c r="K238" s="7">
        <v>55075</v>
      </c>
      <c r="L238" s="2">
        <v>87</v>
      </c>
      <c r="M238" s="2" t="s">
        <v>61</v>
      </c>
      <c r="N238" t="s">
        <v>29</v>
      </c>
      <c r="O238" s="2" t="s">
        <v>18</v>
      </c>
      <c r="P238">
        <f t="shared" si="10"/>
        <v>4189</v>
      </c>
    </row>
    <row r="239" spans="1:16" ht="15.75" customHeight="1" x14ac:dyDescent="0.25">
      <c r="A239" s="2" t="s">
        <v>378</v>
      </c>
      <c r="B239" s="2" t="s">
        <v>42</v>
      </c>
      <c r="C239" s="4" t="s">
        <v>314</v>
      </c>
      <c r="D239" s="144" t="s">
        <v>44</v>
      </c>
      <c r="E239" s="2" t="s">
        <v>45</v>
      </c>
      <c r="F239" s="2">
        <v>3796</v>
      </c>
      <c r="G239" s="2">
        <v>667</v>
      </c>
      <c r="H239" s="2">
        <v>395</v>
      </c>
      <c r="I239" s="7">
        <v>64532</v>
      </c>
      <c r="J239" s="12">
        <f t="shared" si="12"/>
        <v>7.5280481001673588E-2</v>
      </c>
      <c r="K239" s="7">
        <v>63550</v>
      </c>
      <c r="L239" s="2">
        <v>292</v>
      </c>
      <c r="M239" s="2" t="s">
        <v>61</v>
      </c>
      <c r="N239" t="s">
        <v>29</v>
      </c>
      <c r="O239" s="2" t="s">
        <v>37</v>
      </c>
      <c r="P239">
        <f t="shared" si="10"/>
        <v>4858</v>
      </c>
    </row>
    <row r="240" spans="1:16" ht="15.75" customHeight="1" x14ac:dyDescent="0.25">
      <c r="A240" s="2" t="s">
        <v>140</v>
      </c>
      <c r="B240" s="2" t="s">
        <v>42</v>
      </c>
      <c r="C240" s="4" t="s">
        <v>141</v>
      </c>
      <c r="D240" s="144" t="s">
        <v>73</v>
      </c>
      <c r="E240" s="2" t="s">
        <v>74</v>
      </c>
      <c r="F240" s="2">
        <v>3371</v>
      </c>
      <c r="G240" s="2">
        <v>106</v>
      </c>
      <c r="H240" s="2">
        <v>327</v>
      </c>
      <c r="I240" s="7">
        <v>50565</v>
      </c>
      <c r="J240" s="12">
        <f t="shared" si="12"/>
        <v>7.5229902106199939E-2</v>
      </c>
      <c r="K240" s="7">
        <v>49816</v>
      </c>
      <c r="L240" s="2">
        <v>176</v>
      </c>
      <c r="M240" s="2" t="s">
        <v>61</v>
      </c>
      <c r="N240" t="s">
        <v>29</v>
      </c>
      <c r="P240">
        <f t="shared" si="10"/>
        <v>3804</v>
      </c>
    </row>
    <row r="241" spans="1:16" ht="15.75" customHeight="1" x14ac:dyDescent="0.25">
      <c r="A241" s="2" t="s">
        <v>358</v>
      </c>
      <c r="B241" s="2" t="s">
        <v>42</v>
      </c>
      <c r="C241" s="4" t="s">
        <v>359</v>
      </c>
      <c r="D241" s="144" t="s">
        <v>21</v>
      </c>
      <c r="E241" s="2" t="s">
        <v>55</v>
      </c>
      <c r="F241" s="2">
        <v>2418</v>
      </c>
      <c r="G241" s="2">
        <v>754</v>
      </c>
      <c r="H241" s="2">
        <v>54</v>
      </c>
      <c r="I241" s="7">
        <v>43524</v>
      </c>
      <c r="J241" s="12">
        <f t="shared" si="12"/>
        <v>7.412002573292896E-2</v>
      </c>
      <c r="K241" s="7">
        <v>42743</v>
      </c>
      <c r="L241" s="2">
        <v>182</v>
      </c>
      <c r="M241" s="2" t="s">
        <v>174</v>
      </c>
      <c r="N241" t="s">
        <v>36</v>
      </c>
      <c r="O241" s="2" t="s">
        <v>30</v>
      </c>
      <c r="P241">
        <f t="shared" si="10"/>
        <v>3226</v>
      </c>
    </row>
    <row r="242" spans="1:16" ht="15.75" customHeight="1" x14ac:dyDescent="0.25">
      <c r="A242" s="2" t="s">
        <v>268</v>
      </c>
      <c r="B242" s="2" t="s">
        <v>26</v>
      </c>
      <c r="C242" s="4" t="s">
        <v>269</v>
      </c>
      <c r="D242" s="144" t="s">
        <v>51</v>
      </c>
      <c r="E242" s="2" t="s">
        <v>52</v>
      </c>
      <c r="F242" s="2">
        <v>2719</v>
      </c>
      <c r="G242" s="2">
        <v>17</v>
      </c>
      <c r="H242" s="2">
        <v>285</v>
      </c>
      <c r="I242" s="7">
        <v>40785</v>
      </c>
      <c r="J242" s="12">
        <f t="shared" si="12"/>
        <v>7.4071349760941527E-2</v>
      </c>
      <c r="K242" s="7">
        <v>40281</v>
      </c>
      <c r="L242" s="2">
        <v>40</v>
      </c>
      <c r="M242" s="2" t="s">
        <v>29</v>
      </c>
      <c r="N242" t="s">
        <v>29</v>
      </c>
      <c r="O242" s="2" t="s">
        <v>37</v>
      </c>
      <c r="P242">
        <f t="shared" si="10"/>
        <v>3021</v>
      </c>
    </row>
    <row r="243" spans="1:16" ht="15.75" customHeight="1" x14ac:dyDescent="0.25">
      <c r="A243" s="2" t="s">
        <v>249</v>
      </c>
      <c r="B243" s="2" t="s">
        <v>26</v>
      </c>
      <c r="C243" s="4" t="s">
        <v>198</v>
      </c>
      <c r="D243" s="144" t="s">
        <v>73</v>
      </c>
      <c r="E243" s="2" t="s">
        <v>218</v>
      </c>
      <c r="F243" s="2">
        <v>4450</v>
      </c>
      <c r="G243" s="2">
        <v>983</v>
      </c>
      <c r="H243" s="2">
        <v>143</v>
      </c>
      <c r="I243" s="7">
        <v>75650</v>
      </c>
      <c r="J243" s="12">
        <f t="shared" si="12"/>
        <v>7.3707865168539333E-2</v>
      </c>
      <c r="K243" s="7">
        <v>75008</v>
      </c>
      <c r="L243" s="2">
        <v>12</v>
      </c>
      <c r="M243" s="2" t="s">
        <v>36</v>
      </c>
      <c r="N243" t="s">
        <v>61</v>
      </c>
      <c r="O243" s="2" t="s">
        <v>30</v>
      </c>
      <c r="P243">
        <f t="shared" si="10"/>
        <v>5576</v>
      </c>
    </row>
    <row r="244" spans="1:16" ht="15.75" customHeight="1" x14ac:dyDescent="0.25">
      <c r="A244" s="2" t="s">
        <v>147</v>
      </c>
      <c r="B244" s="2" t="s">
        <v>13</v>
      </c>
      <c r="C244" s="4" t="s">
        <v>57</v>
      </c>
      <c r="D244" s="144" t="s">
        <v>34</v>
      </c>
      <c r="E244" s="2" t="s">
        <v>148</v>
      </c>
      <c r="F244" s="2">
        <v>1950</v>
      </c>
      <c r="G244" s="2">
        <v>295</v>
      </c>
      <c r="H244" s="2">
        <v>478</v>
      </c>
      <c r="I244" s="7">
        <v>37050</v>
      </c>
      <c r="J244" s="12">
        <f t="shared" si="12"/>
        <v>7.349527665317139E-2</v>
      </c>
      <c r="K244" s="7">
        <v>36272</v>
      </c>
      <c r="L244" s="2">
        <v>119</v>
      </c>
      <c r="M244" s="2" t="s">
        <v>61</v>
      </c>
      <c r="N244" t="s">
        <v>603</v>
      </c>
      <c r="O244" s="2" t="s">
        <v>37</v>
      </c>
      <c r="P244">
        <f t="shared" si="10"/>
        <v>2723</v>
      </c>
    </row>
    <row r="245" spans="1:16" ht="15.75" customHeight="1" x14ac:dyDescent="0.25">
      <c r="A245" s="2" t="s">
        <v>487</v>
      </c>
      <c r="B245" s="2" t="s">
        <v>42</v>
      </c>
      <c r="C245" s="4" t="s">
        <v>171</v>
      </c>
      <c r="D245" s="144" t="s">
        <v>15</v>
      </c>
      <c r="E245" s="2" t="s">
        <v>64</v>
      </c>
      <c r="F245" s="2">
        <v>3813</v>
      </c>
      <c r="G245" s="2">
        <v>935</v>
      </c>
      <c r="H245" s="2">
        <v>274</v>
      </c>
      <c r="I245" s="7">
        <v>68634</v>
      </c>
      <c r="J245" s="12">
        <f t="shared" si="12"/>
        <v>7.3170731707317069E-2</v>
      </c>
      <c r="K245" s="7">
        <v>68488</v>
      </c>
      <c r="L245" s="2">
        <v>251</v>
      </c>
      <c r="M245" s="2" t="s">
        <v>61</v>
      </c>
      <c r="N245" t="s">
        <v>29</v>
      </c>
      <c r="O245" s="2" t="s">
        <v>30</v>
      </c>
      <c r="P245">
        <f t="shared" si="10"/>
        <v>5022</v>
      </c>
    </row>
    <row r="246" spans="1:16" ht="15.75" customHeight="1" x14ac:dyDescent="0.25">
      <c r="A246" s="2" t="s">
        <v>548</v>
      </c>
      <c r="B246" s="2" t="s">
        <v>42</v>
      </c>
      <c r="C246" s="4" t="s">
        <v>306</v>
      </c>
      <c r="D246" s="144" t="s">
        <v>44</v>
      </c>
      <c r="E246" s="2" t="s">
        <v>45</v>
      </c>
      <c r="F246" s="2">
        <v>2751</v>
      </c>
      <c r="G246" s="2">
        <v>33</v>
      </c>
      <c r="H246" s="2">
        <v>430</v>
      </c>
      <c r="I246" s="7">
        <v>44016</v>
      </c>
      <c r="J246" s="12">
        <f t="shared" si="12"/>
        <v>7.3018902217375503E-2</v>
      </c>
      <c r="K246" s="7">
        <v>43415</v>
      </c>
      <c r="L246" s="2">
        <v>129</v>
      </c>
      <c r="M246" s="2" t="s">
        <v>36</v>
      </c>
      <c r="N246" t="s">
        <v>29</v>
      </c>
      <c r="O246" s="2" t="s">
        <v>18</v>
      </c>
      <c r="P246">
        <f t="shared" si="10"/>
        <v>3214</v>
      </c>
    </row>
    <row r="247" spans="1:16" ht="15.75" customHeight="1" x14ac:dyDescent="0.25">
      <c r="A247" s="2" t="s">
        <v>460</v>
      </c>
      <c r="B247" s="2" t="s">
        <v>42</v>
      </c>
      <c r="C247" s="4" t="s">
        <v>133</v>
      </c>
      <c r="D247" s="144" t="s">
        <v>51</v>
      </c>
      <c r="E247" s="2" t="s">
        <v>58</v>
      </c>
      <c r="F247" s="2">
        <v>2382</v>
      </c>
      <c r="G247" s="2">
        <v>265</v>
      </c>
      <c r="H247" s="2">
        <v>134</v>
      </c>
      <c r="I247" s="7">
        <v>38112</v>
      </c>
      <c r="J247" s="12">
        <f t="shared" si="12"/>
        <v>7.2969143576826198E-2</v>
      </c>
      <c r="K247" s="7">
        <v>37437</v>
      </c>
      <c r="L247" s="2">
        <v>249</v>
      </c>
      <c r="M247" s="2" t="s">
        <v>61</v>
      </c>
      <c r="N247" t="s">
        <v>36</v>
      </c>
      <c r="O247" s="2" t="s">
        <v>24</v>
      </c>
      <c r="P247">
        <f t="shared" si="10"/>
        <v>2781</v>
      </c>
    </row>
    <row r="248" spans="1:16" ht="15.75" customHeight="1" x14ac:dyDescent="0.25">
      <c r="A248" s="2" t="s">
        <v>366</v>
      </c>
      <c r="B248" s="2" t="s">
        <v>42</v>
      </c>
      <c r="C248" s="4" t="s">
        <v>367</v>
      </c>
      <c r="D248" s="144" t="s">
        <v>44</v>
      </c>
      <c r="E248" s="2" t="s">
        <v>45</v>
      </c>
      <c r="F248" s="2">
        <v>3073</v>
      </c>
      <c r="G248" s="2">
        <v>553</v>
      </c>
      <c r="H248" s="2">
        <v>174</v>
      </c>
      <c r="I248" s="7">
        <v>52241</v>
      </c>
      <c r="J248" s="12">
        <f t="shared" si="12"/>
        <v>7.2739802071170159E-2</v>
      </c>
      <c r="K248" s="7">
        <v>51605</v>
      </c>
      <c r="L248" s="2">
        <v>246</v>
      </c>
      <c r="M248" s="2" t="s">
        <v>484</v>
      </c>
      <c r="N248" t="s">
        <v>29</v>
      </c>
      <c r="P248">
        <f t="shared" si="10"/>
        <v>3800</v>
      </c>
    </row>
    <row r="249" spans="1:16" ht="15.75" customHeight="1" x14ac:dyDescent="0.25">
      <c r="A249" s="2" t="s">
        <v>467</v>
      </c>
      <c r="B249" s="2" t="s">
        <v>13</v>
      </c>
      <c r="C249" s="4" t="s">
        <v>468</v>
      </c>
      <c r="D249" s="144" t="s">
        <v>21</v>
      </c>
      <c r="E249" s="2" t="s">
        <v>22</v>
      </c>
      <c r="F249" s="2">
        <v>4725</v>
      </c>
      <c r="G249" s="2">
        <v>400</v>
      </c>
      <c r="H249" s="2">
        <v>362</v>
      </c>
      <c r="I249" s="7">
        <v>75600</v>
      </c>
      <c r="J249" s="12">
        <f t="shared" si="12"/>
        <v>7.2579365079365077E-2</v>
      </c>
      <c r="K249" s="7">
        <v>74927</v>
      </c>
      <c r="L249" s="2">
        <v>43</v>
      </c>
      <c r="M249" s="2" t="s">
        <v>36</v>
      </c>
      <c r="N249" t="s">
        <v>61</v>
      </c>
      <c r="P249">
        <f t="shared" si="10"/>
        <v>5487</v>
      </c>
    </row>
    <row r="250" spans="1:16" ht="15.75" customHeight="1" x14ac:dyDescent="0.25">
      <c r="A250" s="2" t="s">
        <v>393</v>
      </c>
      <c r="B250" s="2" t="s">
        <v>42</v>
      </c>
      <c r="C250" s="4" t="s">
        <v>233</v>
      </c>
      <c r="D250" s="144" t="s">
        <v>15</v>
      </c>
      <c r="E250" s="2" t="s">
        <v>64</v>
      </c>
      <c r="F250" s="2">
        <v>3360</v>
      </c>
      <c r="G250" s="2">
        <v>525</v>
      </c>
      <c r="H250" s="2">
        <v>500</v>
      </c>
      <c r="I250" s="7">
        <v>60480</v>
      </c>
      <c r="J250" s="12">
        <f t="shared" si="12"/>
        <v>7.2503306878306875E-2</v>
      </c>
      <c r="K250" s="7">
        <v>59610</v>
      </c>
      <c r="L250" s="2">
        <v>192</v>
      </c>
      <c r="M250" s="2" t="s">
        <v>36</v>
      </c>
      <c r="N250" t="s">
        <v>36</v>
      </c>
      <c r="O250" s="2" t="s">
        <v>24</v>
      </c>
      <c r="P250">
        <f t="shared" si="10"/>
        <v>4385</v>
      </c>
    </row>
    <row r="251" spans="1:16" ht="15.75" customHeight="1" x14ac:dyDescent="0.25">
      <c r="A251" s="2" t="s">
        <v>127</v>
      </c>
      <c r="B251" s="2" t="s">
        <v>42</v>
      </c>
      <c r="C251" s="4" t="s">
        <v>128</v>
      </c>
      <c r="D251" s="144" t="s">
        <v>51</v>
      </c>
      <c r="E251" s="2" t="s">
        <v>58</v>
      </c>
      <c r="F251" s="2">
        <v>3564</v>
      </c>
      <c r="G251" s="2">
        <v>629</v>
      </c>
      <c r="H251" s="2">
        <v>177</v>
      </c>
      <c r="I251" s="7">
        <v>60588</v>
      </c>
      <c r="J251" s="12">
        <f t="shared" si="12"/>
        <v>7.2126493695121141E-2</v>
      </c>
      <c r="K251" s="7">
        <v>59627</v>
      </c>
      <c r="L251" s="2">
        <v>92</v>
      </c>
      <c r="M251" s="2" t="s">
        <v>61</v>
      </c>
      <c r="N251" t="s">
        <v>29</v>
      </c>
      <c r="P251">
        <f t="shared" si="10"/>
        <v>4370</v>
      </c>
    </row>
    <row r="252" spans="1:16" ht="15.75" customHeight="1" x14ac:dyDescent="0.25">
      <c r="A252" s="2" t="s">
        <v>434</v>
      </c>
      <c r="B252" s="2" t="s">
        <v>42</v>
      </c>
      <c r="C252" s="4" t="s">
        <v>435</v>
      </c>
      <c r="D252" s="144" t="s">
        <v>51</v>
      </c>
      <c r="E252" s="2" t="s">
        <v>58</v>
      </c>
      <c r="F252" s="2">
        <v>4872</v>
      </c>
      <c r="G252" s="2">
        <v>925</v>
      </c>
      <c r="H252" s="2">
        <v>176</v>
      </c>
      <c r="I252" s="7">
        <v>82824</v>
      </c>
      <c r="J252" s="12">
        <f t="shared" si="12"/>
        <v>7.2116777745580993E-2</v>
      </c>
      <c r="K252" s="7">
        <v>82543</v>
      </c>
      <c r="L252" s="2">
        <v>89</v>
      </c>
      <c r="M252" s="2" t="s">
        <v>61</v>
      </c>
      <c r="N252" t="s">
        <v>36</v>
      </c>
      <c r="P252">
        <f t="shared" si="10"/>
        <v>5973</v>
      </c>
    </row>
    <row r="253" spans="1:16" ht="15.75" customHeight="1" x14ac:dyDescent="0.25">
      <c r="A253" s="2" t="s">
        <v>95</v>
      </c>
      <c r="B253" s="2" t="s">
        <v>42</v>
      </c>
      <c r="C253" s="4" t="s">
        <v>96</v>
      </c>
      <c r="D253" s="144" t="s">
        <v>73</v>
      </c>
      <c r="E253" s="2" t="s">
        <v>74</v>
      </c>
      <c r="F253" s="2">
        <v>3961</v>
      </c>
      <c r="G253" s="2">
        <v>761</v>
      </c>
      <c r="H253" s="2">
        <v>131</v>
      </c>
      <c r="I253" s="7">
        <v>67337</v>
      </c>
      <c r="J253" s="12">
        <f t="shared" si="12"/>
        <v>7.2070332803659209E-2</v>
      </c>
      <c r="K253" s="7">
        <v>66615</v>
      </c>
      <c r="L253" s="2">
        <v>161</v>
      </c>
      <c r="M253" s="2" t="s">
        <v>61</v>
      </c>
      <c r="N253" t="s">
        <v>61</v>
      </c>
      <c r="O253" s="2" t="s">
        <v>30</v>
      </c>
      <c r="P253">
        <f t="shared" si="10"/>
        <v>4853</v>
      </c>
    </row>
    <row r="254" spans="1:16" ht="15.75" customHeight="1" x14ac:dyDescent="0.25">
      <c r="A254" s="2" t="s">
        <v>245</v>
      </c>
      <c r="B254" s="2" t="s">
        <v>26</v>
      </c>
      <c r="C254" s="4" t="s">
        <v>246</v>
      </c>
      <c r="D254" s="144" t="s">
        <v>44</v>
      </c>
      <c r="E254" s="2" t="s">
        <v>67</v>
      </c>
      <c r="F254" s="2">
        <v>4171</v>
      </c>
      <c r="G254" s="2">
        <v>548</v>
      </c>
      <c r="H254" s="2">
        <v>86</v>
      </c>
      <c r="I254" s="7">
        <v>66736</v>
      </c>
      <c r="J254" s="12">
        <f t="shared" si="12"/>
        <v>7.2000119875329657E-2</v>
      </c>
      <c r="K254" s="7">
        <v>66634</v>
      </c>
      <c r="L254" s="2">
        <v>173</v>
      </c>
      <c r="M254" s="2" t="s">
        <v>36</v>
      </c>
      <c r="N254" t="s">
        <v>36</v>
      </c>
      <c r="P254">
        <f t="shared" si="10"/>
        <v>4805</v>
      </c>
    </row>
    <row r="255" spans="1:16" ht="15.75" customHeight="1" x14ac:dyDescent="0.25">
      <c r="A255" s="2" t="s">
        <v>56</v>
      </c>
      <c r="B255" s="2" t="s">
        <v>42</v>
      </c>
      <c r="C255" s="4" t="s">
        <v>57</v>
      </c>
      <c r="D255" s="144" t="s">
        <v>51</v>
      </c>
      <c r="E255" s="2" t="s">
        <v>58</v>
      </c>
      <c r="F255" s="2">
        <v>4241</v>
      </c>
      <c r="G255" s="2">
        <v>902</v>
      </c>
      <c r="H255" s="2">
        <v>47</v>
      </c>
      <c r="I255" s="7">
        <v>72097</v>
      </c>
      <c r="J255" s="12">
        <f t="shared" si="12"/>
        <v>7.198635172059864E-2</v>
      </c>
      <c r="K255" s="7">
        <v>71598</v>
      </c>
      <c r="L255" s="2">
        <v>167</v>
      </c>
      <c r="M255" s="2" t="s">
        <v>61</v>
      </c>
      <c r="N255" t="s">
        <v>61</v>
      </c>
      <c r="O255" s="2" t="s">
        <v>24</v>
      </c>
      <c r="P255">
        <f t="shared" si="10"/>
        <v>5190</v>
      </c>
    </row>
    <row r="256" spans="1:16" ht="15.75" customHeight="1" x14ac:dyDescent="0.25">
      <c r="A256" s="2" t="s">
        <v>551</v>
      </c>
      <c r="B256" s="2" t="s">
        <v>42</v>
      </c>
      <c r="C256" s="4" t="s">
        <v>93</v>
      </c>
      <c r="D256" s="144" t="s">
        <v>73</v>
      </c>
      <c r="E256" s="2" t="s">
        <v>74</v>
      </c>
      <c r="F256" s="2">
        <v>4663</v>
      </c>
      <c r="G256" s="2">
        <v>145</v>
      </c>
      <c r="H256" s="2">
        <v>225</v>
      </c>
      <c r="I256" s="7">
        <v>69945</v>
      </c>
      <c r="J256" s="12">
        <f t="shared" si="12"/>
        <v>7.1956537279290869E-2</v>
      </c>
      <c r="K256" s="7">
        <v>69596</v>
      </c>
      <c r="L256" s="2">
        <v>35</v>
      </c>
      <c r="M256" s="2" t="s">
        <v>61</v>
      </c>
      <c r="N256" t="s">
        <v>29</v>
      </c>
      <c r="O256" s="2" t="s">
        <v>37</v>
      </c>
      <c r="P256">
        <f t="shared" si="10"/>
        <v>5033</v>
      </c>
    </row>
    <row r="257" spans="1:16" ht="15.75" customHeight="1" x14ac:dyDescent="0.25">
      <c r="A257" s="2" t="s">
        <v>301</v>
      </c>
      <c r="B257" s="2" t="s">
        <v>42</v>
      </c>
      <c r="C257" s="4" t="s">
        <v>302</v>
      </c>
      <c r="D257" s="144" t="s">
        <v>51</v>
      </c>
      <c r="E257" s="2" t="s">
        <v>58</v>
      </c>
      <c r="F257" s="2">
        <v>2072</v>
      </c>
      <c r="G257" s="2">
        <v>532</v>
      </c>
      <c r="H257" s="2">
        <v>71</v>
      </c>
      <c r="I257" s="7">
        <v>37296</v>
      </c>
      <c r="J257" s="12">
        <f t="shared" si="12"/>
        <v>7.172350922350923E-2</v>
      </c>
      <c r="K257" s="7">
        <v>36467</v>
      </c>
      <c r="L257" s="2">
        <v>25</v>
      </c>
      <c r="M257" s="2" t="s">
        <v>36</v>
      </c>
      <c r="N257" t="s">
        <v>29</v>
      </c>
      <c r="O257" s="2" t="s">
        <v>24</v>
      </c>
      <c r="P257">
        <f t="shared" si="10"/>
        <v>2675</v>
      </c>
    </row>
    <row r="258" spans="1:16" ht="15.75" customHeight="1" x14ac:dyDescent="0.25">
      <c r="A258" s="2" t="s">
        <v>101</v>
      </c>
      <c r="B258" s="2" t="s">
        <v>26</v>
      </c>
      <c r="C258" s="4" t="s">
        <v>102</v>
      </c>
      <c r="D258" s="144" t="s">
        <v>21</v>
      </c>
      <c r="E258" s="2" t="s">
        <v>103</v>
      </c>
      <c r="F258" s="2">
        <v>2076</v>
      </c>
      <c r="G258" s="2">
        <v>195</v>
      </c>
      <c r="H258" s="2">
        <v>104</v>
      </c>
      <c r="I258" s="7">
        <v>33216</v>
      </c>
      <c r="J258" s="12">
        <f t="shared" si="12"/>
        <v>7.1501685934489398E-2</v>
      </c>
      <c r="K258" s="7">
        <v>32244</v>
      </c>
      <c r="L258" s="2">
        <v>51</v>
      </c>
      <c r="M258" s="2" t="s">
        <v>498</v>
      </c>
      <c r="N258" t="s">
        <v>61</v>
      </c>
      <c r="O258" s="2" t="s">
        <v>24</v>
      </c>
      <c r="P258">
        <f t="shared" si="10"/>
        <v>2375</v>
      </c>
    </row>
    <row r="259" spans="1:16" ht="15.75" customHeight="1" x14ac:dyDescent="0.25">
      <c r="A259" s="2" t="s">
        <v>303</v>
      </c>
      <c r="B259" s="2" t="s">
        <v>13</v>
      </c>
      <c r="C259" s="4" t="s">
        <v>304</v>
      </c>
      <c r="D259" s="144" t="s">
        <v>15</v>
      </c>
      <c r="E259" s="2" t="s">
        <v>16</v>
      </c>
      <c r="F259" s="2">
        <v>3731</v>
      </c>
      <c r="G259" s="2">
        <v>115</v>
      </c>
      <c r="H259" s="2">
        <v>135</v>
      </c>
      <c r="I259" s="7">
        <v>55965</v>
      </c>
      <c r="J259" s="12">
        <f t="shared" si="12"/>
        <v>7.1133744304476013E-2</v>
      </c>
      <c r="K259" s="7">
        <v>55436</v>
      </c>
      <c r="L259" s="2">
        <v>103</v>
      </c>
      <c r="M259" s="2" t="s">
        <v>36</v>
      </c>
      <c r="N259" t="s">
        <v>608</v>
      </c>
      <c r="O259" s="2" t="s">
        <v>24</v>
      </c>
      <c r="P259">
        <f t="shared" ref="P259:P301" si="13">F259+G259+H259</f>
        <v>3981</v>
      </c>
    </row>
    <row r="260" spans="1:16" ht="15.75" customHeight="1" x14ac:dyDescent="0.25">
      <c r="A260" s="2" t="s">
        <v>230</v>
      </c>
      <c r="B260" s="2" t="s">
        <v>32</v>
      </c>
      <c r="C260" s="4" t="s">
        <v>231</v>
      </c>
      <c r="D260" s="144" t="s">
        <v>51</v>
      </c>
      <c r="E260" s="2" t="s">
        <v>214</v>
      </c>
      <c r="F260" s="2">
        <v>3861</v>
      </c>
      <c r="G260" s="2">
        <v>960</v>
      </c>
      <c r="H260" s="2">
        <v>101</v>
      </c>
      <c r="I260" s="7">
        <v>69498</v>
      </c>
      <c r="J260" s="12">
        <f t="shared" si="12"/>
        <v>7.0822181933293038E-2</v>
      </c>
      <c r="K260" s="7">
        <v>68817</v>
      </c>
      <c r="L260" s="2">
        <v>297</v>
      </c>
      <c r="M260" s="2" t="s">
        <v>29</v>
      </c>
      <c r="N260" t="s">
        <v>36</v>
      </c>
      <c r="O260" s="2" t="s">
        <v>18</v>
      </c>
      <c r="P260">
        <f t="shared" si="13"/>
        <v>4922</v>
      </c>
    </row>
    <row r="261" spans="1:16" ht="15.75" customHeight="1" x14ac:dyDescent="0.25">
      <c r="A261" s="2" t="s">
        <v>117</v>
      </c>
      <c r="B261" s="2" t="s">
        <v>42</v>
      </c>
      <c r="C261" s="4" t="s">
        <v>118</v>
      </c>
      <c r="D261" s="144" t="s">
        <v>21</v>
      </c>
      <c r="E261" s="2" t="s">
        <v>55</v>
      </c>
      <c r="F261" s="2">
        <v>1652</v>
      </c>
      <c r="G261" s="2">
        <v>89</v>
      </c>
      <c r="H261" s="2">
        <v>357</v>
      </c>
      <c r="I261" s="7">
        <v>29736</v>
      </c>
      <c r="J261" s="12">
        <f t="shared" si="12"/>
        <v>7.055421038471886E-2</v>
      </c>
      <c r="K261" s="7">
        <v>28771</v>
      </c>
      <c r="L261" s="2">
        <v>215</v>
      </c>
      <c r="M261" s="2" t="s">
        <v>504</v>
      </c>
      <c r="N261" t="s">
        <v>61</v>
      </c>
      <c r="O261" s="2" t="s">
        <v>30</v>
      </c>
      <c r="P261">
        <f t="shared" si="13"/>
        <v>2098</v>
      </c>
    </row>
    <row r="262" spans="1:16" ht="15.75" customHeight="1" x14ac:dyDescent="0.25">
      <c r="A262" s="2" t="s">
        <v>46</v>
      </c>
      <c r="B262" s="2" t="s">
        <v>13</v>
      </c>
      <c r="C262" s="4" t="s">
        <v>47</v>
      </c>
      <c r="D262" s="144" t="s">
        <v>44</v>
      </c>
      <c r="E262" s="2" t="s">
        <v>48</v>
      </c>
      <c r="F262" s="2">
        <v>3860</v>
      </c>
      <c r="G262" s="2">
        <v>201</v>
      </c>
      <c r="H262" s="2">
        <v>279</v>
      </c>
      <c r="I262" s="7">
        <v>61760</v>
      </c>
      <c r="J262" s="12">
        <f t="shared" si="12"/>
        <v>7.0272020725388601E-2</v>
      </c>
      <c r="K262" s="7">
        <v>61660</v>
      </c>
      <c r="L262" s="2">
        <v>235</v>
      </c>
      <c r="M262" s="2" t="s">
        <v>36</v>
      </c>
      <c r="N262" t="s">
        <v>61</v>
      </c>
      <c r="O262" s="2" t="s">
        <v>18</v>
      </c>
      <c r="P262">
        <f t="shared" si="13"/>
        <v>4340</v>
      </c>
    </row>
    <row r="263" spans="1:16" ht="15.75" customHeight="1" x14ac:dyDescent="0.25">
      <c r="A263" s="2" t="s">
        <v>318</v>
      </c>
      <c r="B263" s="2" t="s">
        <v>26</v>
      </c>
      <c r="C263" s="4" t="s">
        <v>263</v>
      </c>
      <c r="D263" s="144" t="s">
        <v>34</v>
      </c>
      <c r="E263" s="2" t="s">
        <v>153</v>
      </c>
      <c r="F263" s="2">
        <v>2070</v>
      </c>
      <c r="G263" s="2">
        <v>275</v>
      </c>
      <c r="H263" s="2">
        <v>386</v>
      </c>
      <c r="I263" s="7">
        <v>39330</v>
      </c>
      <c r="J263" s="12">
        <f t="shared" si="12"/>
        <v>6.9438087973557078E-2</v>
      </c>
      <c r="K263" s="7">
        <v>38627</v>
      </c>
      <c r="L263" s="2">
        <v>114</v>
      </c>
      <c r="M263" s="2" t="s">
        <v>29</v>
      </c>
      <c r="N263" t="s">
        <v>61</v>
      </c>
      <c r="P263">
        <f t="shared" si="13"/>
        <v>2731</v>
      </c>
    </row>
    <row r="264" spans="1:16" ht="15.75" customHeight="1" x14ac:dyDescent="0.25">
      <c r="A264" s="2" t="s">
        <v>294</v>
      </c>
      <c r="B264" s="2" t="s">
        <v>42</v>
      </c>
      <c r="C264" s="4" t="s">
        <v>223</v>
      </c>
      <c r="D264" s="144" t="s">
        <v>15</v>
      </c>
      <c r="E264" s="2" t="s">
        <v>64</v>
      </c>
      <c r="F264" s="2">
        <v>3452</v>
      </c>
      <c r="G264" s="2">
        <v>652</v>
      </c>
      <c r="H264" s="2">
        <v>442</v>
      </c>
      <c r="I264" s="7">
        <v>65588</v>
      </c>
      <c r="J264" s="12">
        <f t="shared" si="12"/>
        <v>6.9311459413307311E-2</v>
      </c>
      <c r="K264" s="7">
        <v>65049</v>
      </c>
      <c r="L264" s="2">
        <v>158</v>
      </c>
      <c r="M264" s="2" t="s">
        <v>61</v>
      </c>
      <c r="N264" t="s">
        <v>36</v>
      </c>
      <c r="O264" s="2" t="s">
        <v>24</v>
      </c>
      <c r="P264">
        <f t="shared" si="13"/>
        <v>4546</v>
      </c>
    </row>
    <row r="265" spans="1:16" ht="15.75" customHeight="1" x14ac:dyDescent="0.25">
      <c r="A265" s="2" t="s">
        <v>362</v>
      </c>
      <c r="B265" s="2" t="s">
        <v>13</v>
      </c>
      <c r="C265" s="4" t="s">
        <v>363</v>
      </c>
      <c r="D265" s="144" t="s">
        <v>21</v>
      </c>
      <c r="E265" s="2" t="s">
        <v>22</v>
      </c>
      <c r="F265" s="2">
        <v>3577</v>
      </c>
      <c r="G265" s="2">
        <v>596</v>
      </c>
      <c r="H265" s="2">
        <v>493</v>
      </c>
      <c r="I265" s="7">
        <v>67963</v>
      </c>
      <c r="J265" s="12">
        <f t="shared" si="12"/>
        <v>6.8655003457763777E-2</v>
      </c>
      <c r="K265" s="7">
        <v>67839</v>
      </c>
      <c r="L265" s="2">
        <v>53</v>
      </c>
      <c r="M265" s="2" t="s">
        <v>29</v>
      </c>
      <c r="N265" t="s">
        <v>29</v>
      </c>
      <c r="O265" s="2" t="s">
        <v>24</v>
      </c>
      <c r="P265">
        <f t="shared" si="13"/>
        <v>4666</v>
      </c>
    </row>
    <row r="266" spans="1:16" ht="15.75" customHeight="1" x14ac:dyDescent="0.25">
      <c r="A266" s="2" t="s">
        <v>238</v>
      </c>
      <c r="B266" s="2" t="s">
        <v>32</v>
      </c>
      <c r="C266" s="4" t="s">
        <v>239</v>
      </c>
      <c r="D266" s="144" t="s">
        <v>21</v>
      </c>
      <c r="E266" s="2" t="s">
        <v>112</v>
      </c>
      <c r="F266" s="2">
        <v>3182</v>
      </c>
      <c r="G266" s="2">
        <v>559</v>
      </c>
      <c r="H266" s="2">
        <v>160</v>
      </c>
      <c r="I266" s="7">
        <v>57276</v>
      </c>
      <c r="J266" s="12">
        <f t="shared" si="12"/>
        <v>6.8108806480899509E-2</v>
      </c>
      <c r="K266" s="7">
        <v>56890</v>
      </c>
      <c r="L266" s="2">
        <v>163</v>
      </c>
      <c r="M266" s="2" t="s">
        <v>36</v>
      </c>
      <c r="N266" t="s">
        <v>608</v>
      </c>
      <c r="O266" s="2" t="s">
        <v>37</v>
      </c>
      <c r="P266">
        <f t="shared" si="13"/>
        <v>3901</v>
      </c>
    </row>
    <row r="267" spans="1:16" ht="15.75" customHeight="1" x14ac:dyDescent="0.25">
      <c r="A267" s="2" t="s">
        <v>546</v>
      </c>
      <c r="B267" s="2" t="s">
        <v>26</v>
      </c>
      <c r="C267" s="4" t="s">
        <v>547</v>
      </c>
      <c r="D267" s="144" t="s">
        <v>44</v>
      </c>
      <c r="E267" s="2" t="s">
        <v>67</v>
      </c>
      <c r="F267" s="2">
        <v>4780</v>
      </c>
      <c r="G267" s="2">
        <v>691</v>
      </c>
      <c r="H267" s="2">
        <v>380</v>
      </c>
      <c r="I267" s="7">
        <v>86040</v>
      </c>
      <c r="J267" s="12">
        <f t="shared" si="12"/>
        <v>6.800325430032543E-2</v>
      </c>
      <c r="K267" s="7">
        <v>85743</v>
      </c>
      <c r="L267" s="2">
        <v>262</v>
      </c>
      <c r="M267" s="2" t="s">
        <v>29</v>
      </c>
      <c r="N267" t="s">
        <v>29</v>
      </c>
      <c r="O267" s="2" t="s">
        <v>30</v>
      </c>
      <c r="P267">
        <f t="shared" si="13"/>
        <v>5851</v>
      </c>
    </row>
    <row r="268" spans="1:16" ht="15.75" customHeight="1" x14ac:dyDescent="0.25">
      <c r="A268" s="2" t="s">
        <v>466</v>
      </c>
      <c r="B268" s="2" t="s">
        <v>32</v>
      </c>
      <c r="C268" s="4" t="s">
        <v>340</v>
      </c>
      <c r="D268" s="144" t="s">
        <v>34</v>
      </c>
      <c r="E268" s="2" t="s">
        <v>35</v>
      </c>
      <c r="F268" s="2">
        <v>3770</v>
      </c>
      <c r="G268" s="2">
        <v>917</v>
      </c>
      <c r="H268" s="2">
        <v>129</v>
      </c>
      <c r="I268" s="7">
        <v>71630</v>
      </c>
      <c r="J268" s="12">
        <f t="shared" ref="J268:J299" si="14">(F268+G268+H268)/I268</f>
        <v>6.7234398994834563E-2</v>
      </c>
      <c r="K268" s="7">
        <v>71322</v>
      </c>
      <c r="L268" s="2">
        <v>76</v>
      </c>
      <c r="M268" s="2" t="s">
        <v>61</v>
      </c>
      <c r="N268" t="s">
        <v>36</v>
      </c>
      <c r="P268">
        <f t="shared" si="13"/>
        <v>4816</v>
      </c>
    </row>
    <row r="269" spans="1:16" ht="15.75" customHeight="1" x14ac:dyDescent="0.25">
      <c r="A269" s="2" t="s">
        <v>520</v>
      </c>
      <c r="B269" s="2" t="s">
        <v>26</v>
      </c>
      <c r="C269" s="4" t="s">
        <v>413</v>
      </c>
      <c r="D269" s="144" t="s">
        <v>15</v>
      </c>
      <c r="E269" s="2" t="s">
        <v>28</v>
      </c>
      <c r="F269" s="2">
        <v>3774</v>
      </c>
      <c r="G269" s="2">
        <v>239</v>
      </c>
      <c r="H269" s="2">
        <v>39</v>
      </c>
      <c r="I269" s="7">
        <v>60384</v>
      </c>
      <c r="J269" s="12">
        <f t="shared" si="14"/>
        <v>6.7103868574456813E-2</v>
      </c>
      <c r="K269" s="7">
        <v>59490</v>
      </c>
      <c r="L269" s="2">
        <v>241</v>
      </c>
      <c r="M269" s="2" t="s">
        <v>36</v>
      </c>
      <c r="N269" t="s">
        <v>61</v>
      </c>
      <c r="O269" s="2" t="s">
        <v>18</v>
      </c>
      <c r="P269">
        <f t="shared" si="13"/>
        <v>4052</v>
      </c>
    </row>
    <row r="270" spans="1:16" ht="15.75" customHeight="1" x14ac:dyDescent="0.25">
      <c r="A270" s="2" t="s">
        <v>38</v>
      </c>
      <c r="B270" s="2" t="s">
        <v>26</v>
      </c>
      <c r="C270" s="4" t="s">
        <v>39</v>
      </c>
      <c r="D270" s="144" t="s">
        <v>15</v>
      </c>
      <c r="E270" s="2" t="s">
        <v>28</v>
      </c>
      <c r="F270" s="2">
        <v>3557</v>
      </c>
      <c r="G270" s="2">
        <v>687</v>
      </c>
      <c r="H270" s="2">
        <v>424</v>
      </c>
      <c r="I270" s="7">
        <v>71140</v>
      </c>
      <c r="J270" s="12">
        <f t="shared" si="14"/>
        <v>6.5617093055946027E-2</v>
      </c>
      <c r="K270" s="7">
        <v>70701</v>
      </c>
      <c r="L270" s="2">
        <v>224</v>
      </c>
      <c r="M270" s="2" t="s">
        <v>29</v>
      </c>
      <c r="N270" t="s">
        <v>61</v>
      </c>
      <c r="O270" s="2" t="s">
        <v>24</v>
      </c>
      <c r="P270">
        <f t="shared" si="13"/>
        <v>4668</v>
      </c>
    </row>
    <row r="271" spans="1:16" ht="15.75" customHeight="1" x14ac:dyDescent="0.25">
      <c r="A271" s="2" t="s">
        <v>222</v>
      </c>
      <c r="B271" s="2" t="s">
        <v>26</v>
      </c>
      <c r="C271" s="4" t="s">
        <v>223</v>
      </c>
      <c r="D271" s="144" t="s">
        <v>21</v>
      </c>
      <c r="E271" s="2" t="s">
        <v>103</v>
      </c>
      <c r="F271" s="2">
        <v>3428</v>
      </c>
      <c r="G271" s="2">
        <v>305</v>
      </c>
      <c r="H271" s="2">
        <v>85</v>
      </c>
      <c r="I271" s="7">
        <v>58276</v>
      </c>
      <c r="J271" s="12">
        <f t="shared" si="14"/>
        <v>6.5515821264328367E-2</v>
      </c>
      <c r="K271" s="7">
        <v>58052</v>
      </c>
      <c r="L271" s="2">
        <v>242</v>
      </c>
      <c r="M271" s="2" t="s">
        <v>29</v>
      </c>
      <c r="N271" t="s">
        <v>36</v>
      </c>
      <c r="O271" s="2" t="s">
        <v>30</v>
      </c>
      <c r="P271">
        <f t="shared" si="13"/>
        <v>3818</v>
      </c>
    </row>
    <row r="272" spans="1:16" ht="15.75" customHeight="1" x14ac:dyDescent="0.25">
      <c r="A272" s="2" t="s">
        <v>320</v>
      </c>
      <c r="B272" s="2" t="s">
        <v>26</v>
      </c>
      <c r="C272" s="4" t="s">
        <v>200</v>
      </c>
      <c r="D272" s="144" t="s">
        <v>34</v>
      </c>
      <c r="E272" s="2" t="s">
        <v>153</v>
      </c>
      <c r="F272" s="2">
        <v>4929</v>
      </c>
      <c r="G272" s="2">
        <v>749</v>
      </c>
      <c r="H272" s="2">
        <v>452</v>
      </c>
      <c r="I272" s="7">
        <v>93651</v>
      </c>
      <c r="J272" s="12">
        <f t="shared" si="14"/>
        <v>6.5455787978772245E-2</v>
      </c>
      <c r="K272" s="7">
        <v>92810</v>
      </c>
      <c r="L272" s="2">
        <v>66</v>
      </c>
      <c r="M272" s="2" t="s">
        <v>36</v>
      </c>
      <c r="N272" t="s">
        <v>61</v>
      </c>
      <c r="O272" s="2" t="s">
        <v>24</v>
      </c>
      <c r="P272">
        <f t="shared" si="13"/>
        <v>6130</v>
      </c>
    </row>
    <row r="273" spans="1:16" ht="15.75" customHeight="1" x14ac:dyDescent="0.25">
      <c r="A273" s="2" t="s">
        <v>406</v>
      </c>
      <c r="B273" s="2" t="s">
        <v>13</v>
      </c>
      <c r="C273" s="4" t="s">
        <v>340</v>
      </c>
      <c r="D273" s="144" t="s">
        <v>15</v>
      </c>
      <c r="E273" s="2" t="s">
        <v>16</v>
      </c>
      <c r="F273" s="2">
        <v>4782</v>
      </c>
      <c r="G273" s="2">
        <v>721</v>
      </c>
      <c r="H273" s="2">
        <v>82</v>
      </c>
      <c r="I273" s="7">
        <v>86076</v>
      </c>
      <c r="J273" s="12">
        <f t="shared" si="14"/>
        <v>6.4884520656164318E-2</v>
      </c>
      <c r="K273" s="7">
        <v>85339</v>
      </c>
      <c r="L273" s="2">
        <v>19</v>
      </c>
      <c r="M273" s="2" t="s">
        <v>29</v>
      </c>
      <c r="N273" t="s">
        <v>61</v>
      </c>
      <c r="O273" s="2" t="s">
        <v>30</v>
      </c>
      <c r="P273">
        <f t="shared" si="13"/>
        <v>5585</v>
      </c>
    </row>
    <row r="274" spans="1:16" ht="15.75" customHeight="1" x14ac:dyDescent="0.25">
      <c r="A274" s="2" t="s">
        <v>305</v>
      </c>
      <c r="B274" s="2" t="s">
        <v>42</v>
      </c>
      <c r="C274" s="4" t="s">
        <v>306</v>
      </c>
      <c r="D274" s="144" t="s">
        <v>21</v>
      </c>
      <c r="E274" s="2" t="s">
        <v>55</v>
      </c>
      <c r="F274" s="2">
        <v>4213</v>
      </c>
      <c r="G274" s="2">
        <v>253</v>
      </c>
      <c r="H274" s="2">
        <v>434</v>
      </c>
      <c r="I274" s="7">
        <v>75834</v>
      </c>
      <c r="J274" s="12">
        <f t="shared" si="14"/>
        <v>6.461481657304112E-2</v>
      </c>
      <c r="K274" s="7">
        <v>75437</v>
      </c>
      <c r="L274" s="2">
        <v>272</v>
      </c>
      <c r="M274" s="2" t="s">
        <v>36</v>
      </c>
      <c r="N274" t="s">
        <v>36</v>
      </c>
      <c r="O274" s="2" t="s">
        <v>37</v>
      </c>
      <c r="P274">
        <f t="shared" si="13"/>
        <v>4900</v>
      </c>
    </row>
    <row r="275" spans="1:16" ht="15.75" customHeight="1" x14ac:dyDescent="0.25">
      <c r="A275" s="2" t="s">
        <v>197</v>
      </c>
      <c r="B275" s="2" t="s">
        <v>42</v>
      </c>
      <c r="C275" s="4" t="s">
        <v>198</v>
      </c>
      <c r="D275" s="144" t="s">
        <v>34</v>
      </c>
      <c r="E275" s="2" t="s">
        <v>70</v>
      </c>
      <c r="F275" s="2">
        <v>4126</v>
      </c>
      <c r="G275" s="2">
        <v>426</v>
      </c>
      <c r="H275" s="2">
        <v>486</v>
      </c>
      <c r="I275" s="7">
        <v>78394</v>
      </c>
      <c r="J275" s="12">
        <f t="shared" si="14"/>
        <v>6.4265122330790625E-2</v>
      </c>
      <c r="K275" s="7">
        <v>77798</v>
      </c>
      <c r="L275" s="2">
        <v>88</v>
      </c>
      <c r="M275" s="2" t="s">
        <v>29</v>
      </c>
      <c r="N275" t="s">
        <v>609</v>
      </c>
      <c r="O275" s="2" t="s">
        <v>37</v>
      </c>
      <c r="P275">
        <f t="shared" si="13"/>
        <v>5038</v>
      </c>
    </row>
    <row r="276" spans="1:16" ht="15.75" customHeight="1" x14ac:dyDescent="0.25">
      <c r="A276" s="2" t="s">
        <v>515</v>
      </c>
      <c r="B276" s="2" t="s">
        <v>13</v>
      </c>
      <c r="C276" s="4" t="s">
        <v>395</v>
      </c>
      <c r="D276" s="144" t="s">
        <v>15</v>
      </c>
      <c r="E276" s="2" t="s">
        <v>16</v>
      </c>
      <c r="F276" s="2">
        <v>4187</v>
      </c>
      <c r="G276" s="2">
        <v>66</v>
      </c>
      <c r="H276" s="2">
        <v>31</v>
      </c>
      <c r="I276" s="7">
        <v>66992</v>
      </c>
      <c r="J276" s="12">
        <f t="shared" si="14"/>
        <v>6.3947934081681396E-2</v>
      </c>
      <c r="K276" s="7">
        <v>66614</v>
      </c>
      <c r="L276" s="2">
        <v>62</v>
      </c>
      <c r="M276" s="2" t="s">
        <v>36</v>
      </c>
      <c r="N276" t="s">
        <v>36</v>
      </c>
      <c r="O276" s="2" t="s">
        <v>30</v>
      </c>
      <c r="P276">
        <f t="shared" si="13"/>
        <v>4284</v>
      </c>
    </row>
    <row r="277" spans="1:16" ht="15.75" customHeight="1" x14ac:dyDescent="0.25">
      <c r="A277" s="2" t="s">
        <v>85</v>
      </c>
      <c r="B277" s="2" t="s">
        <v>32</v>
      </c>
      <c r="C277" s="4" t="s">
        <v>86</v>
      </c>
      <c r="D277" s="144" t="s">
        <v>44</v>
      </c>
      <c r="E277" s="2" t="s">
        <v>87</v>
      </c>
      <c r="F277" s="2">
        <v>4054</v>
      </c>
      <c r="G277" s="2">
        <v>488</v>
      </c>
      <c r="H277" s="2">
        <v>373</v>
      </c>
      <c r="I277" s="7">
        <v>77026</v>
      </c>
      <c r="J277" s="12">
        <f t="shared" si="14"/>
        <v>6.3809622724794221E-2</v>
      </c>
      <c r="K277" s="7">
        <v>76881</v>
      </c>
      <c r="L277" s="2">
        <v>25</v>
      </c>
      <c r="M277" s="2" t="s">
        <v>29</v>
      </c>
      <c r="N277" t="s">
        <v>36</v>
      </c>
      <c r="O277" s="2" t="s">
        <v>24</v>
      </c>
      <c r="P277">
        <f t="shared" si="13"/>
        <v>4915</v>
      </c>
    </row>
    <row r="278" spans="1:16" ht="15.75" customHeight="1" x14ac:dyDescent="0.25">
      <c r="A278" s="2" t="s">
        <v>186</v>
      </c>
      <c r="B278" s="2" t="s">
        <v>42</v>
      </c>
      <c r="C278" s="4" t="s">
        <v>187</v>
      </c>
      <c r="D278" s="144" t="s">
        <v>44</v>
      </c>
      <c r="E278" s="2" t="s">
        <v>45</v>
      </c>
      <c r="F278" s="2">
        <v>4712</v>
      </c>
      <c r="G278" s="2">
        <v>568</v>
      </c>
      <c r="H278" s="2">
        <v>127</v>
      </c>
      <c r="I278" s="7">
        <v>84816</v>
      </c>
      <c r="J278" s="12">
        <f t="shared" si="14"/>
        <v>6.3749764195434822E-2</v>
      </c>
      <c r="K278" s="7">
        <v>84691</v>
      </c>
      <c r="L278" s="2">
        <v>100</v>
      </c>
      <c r="M278" s="2" t="s">
        <v>61</v>
      </c>
      <c r="N278" t="s">
        <v>61</v>
      </c>
      <c r="O278" s="2" t="s">
        <v>18</v>
      </c>
      <c r="P278">
        <f t="shared" si="13"/>
        <v>5407</v>
      </c>
    </row>
    <row r="279" spans="1:16" ht="15.75" customHeight="1" x14ac:dyDescent="0.25">
      <c r="A279" s="2" t="s">
        <v>329</v>
      </c>
      <c r="B279" s="2" t="s">
        <v>26</v>
      </c>
      <c r="C279" s="4" t="s">
        <v>330</v>
      </c>
      <c r="D279" s="144" t="s">
        <v>44</v>
      </c>
      <c r="E279" s="2" t="s">
        <v>67</v>
      </c>
      <c r="F279" s="2">
        <v>4295</v>
      </c>
      <c r="G279" s="2">
        <v>853</v>
      </c>
      <c r="H279" s="2">
        <v>325</v>
      </c>
      <c r="I279" s="7">
        <v>85900</v>
      </c>
      <c r="J279" s="12">
        <f t="shared" si="14"/>
        <v>6.3713620488940623E-2</v>
      </c>
      <c r="K279" s="7">
        <v>85788</v>
      </c>
      <c r="L279" s="2">
        <v>290</v>
      </c>
      <c r="M279" s="2" t="s">
        <v>36</v>
      </c>
      <c r="N279" t="s">
        <v>61</v>
      </c>
      <c r="O279" s="2" t="s">
        <v>37</v>
      </c>
      <c r="P279">
        <f t="shared" si="13"/>
        <v>5473</v>
      </c>
    </row>
    <row r="280" spans="1:16" ht="15.75" customHeight="1" x14ac:dyDescent="0.25">
      <c r="A280" s="2" t="s">
        <v>535</v>
      </c>
      <c r="B280" s="2" t="s">
        <v>26</v>
      </c>
      <c r="C280" s="4" t="s">
        <v>536</v>
      </c>
      <c r="D280" s="144" t="s">
        <v>51</v>
      </c>
      <c r="E280" s="2" t="s">
        <v>52</v>
      </c>
      <c r="F280" s="2">
        <v>3166</v>
      </c>
      <c r="G280" s="2">
        <v>90</v>
      </c>
      <c r="H280" s="2">
        <v>341</v>
      </c>
      <c r="I280" s="7">
        <v>56988</v>
      </c>
      <c r="J280" s="12">
        <f t="shared" si="14"/>
        <v>6.3118551273952411E-2</v>
      </c>
      <c r="K280" s="7">
        <v>56125</v>
      </c>
      <c r="L280" s="2">
        <v>135</v>
      </c>
      <c r="M280" s="2" t="s">
        <v>29</v>
      </c>
      <c r="N280" t="s">
        <v>61</v>
      </c>
      <c r="O280" s="2" t="s">
        <v>24</v>
      </c>
      <c r="P280">
        <f t="shared" si="13"/>
        <v>3597</v>
      </c>
    </row>
    <row r="281" spans="1:16" ht="15.75" customHeight="1" x14ac:dyDescent="0.25">
      <c r="A281" s="2" t="s">
        <v>437</v>
      </c>
      <c r="B281" s="2" t="s">
        <v>42</v>
      </c>
      <c r="C281" s="4" t="s">
        <v>361</v>
      </c>
      <c r="D281" s="144" t="s">
        <v>51</v>
      </c>
      <c r="E281" s="2" t="s">
        <v>58</v>
      </c>
      <c r="F281" s="2">
        <v>4606</v>
      </c>
      <c r="G281" s="2">
        <v>931</v>
      </c>
      <c r="H281" s="2">
        <v>230</v>
      </c>
      <c r="I281" s="7">
        <v>92120</v>
      </c>
      <c r="J281" s="12">
        <f t="shared" si="14"/>
        <v>6.2603126356925748E-2</v>
      </c>
      <c r="K281" s="7">
        <v>91440</v>
      </c>
      <c r="L281" s="2">
        <v>56</v>
      </c>
      <c r="M281" s="2" t="s">
        <v>174</v>
      </c>
      <c r="N281" t="s">
        <v>36</v>
      </c>
      <c r="O281" s="2" t="s">
        <v>37</v>
      </c>
      <c r="P281">
        <f t="shared" si="13"/>
        <v>5767</v>
      </c>
    </row>
    <row r="282" spans="1:16" ht="15.75" customHeight="1" x14ac:dyDescent="0.25">
      <c r="A282" s="2" t="s">
        <v>410</v>
      </c>
      <c r="B282" s="2" t="s">
        <v>42</v>
      </c>
      <c r="C282" s="4" t="s">
        <v>411</v>
      </c>
      <c r="D282" s="144" t="s">
        <v>15</v>
      </c>
      <c r="E282" s="2" t="s">
        <v>64</v>
      </c>
      <c r="F282" s="2">
        <v>3718</v>
      </c>
      <c r="G282" s="2">
        <v>385</v>
      </c>
      <c r="H282" s="2">
        <v>310</v>
      </c>
      <c r="I282" s="7">
        <v>70642</v>
      </c>
      <c r="J282" s="12">
        <f t="shared" si="14"/>
        <v>6.246991874522239E-2</v>
      </c>
      <c r="K282" s="7">
        <v>69749</v>
      </c>
      <c r="L282" s="2">
        <v>233</v>
      </c>
      <c r="M282" s="2" t="s">
        <v>36</v>
      </c>
      <c r="N282" t="s">
        <v>61</v>
      </c>
      <c r="O282" s="2" t="s">
        <v>24</v>
      </c>
      <c r="P282">
        <f t="shared" si="13"/>
        <v>4413</v>
      </c>
    </row>
    <row r="283" spans="1:16" ht="15.75" customHeight="1" x14ac:dyDescent="0.25">
      <c r="A283" s="2" t="s">
        <v>260</v>
      </c>
      <c r="B283" s="2" t="s">
        <v>26</v>
      </c>
      <c r="C283" s="4" t="s">
        <v>261</v>
      </c>
      <c r="D283" s="144" t="s">
        <v>51</v>
      </c>
      <c r="E283" s="2" t="s">
        <v>52</v>
      </c>
      <c r="F283" s="2">
        <v>4832</v>
      </c>
      <c r="G283" s="2">
        <v>893</v>
      </c>
      <c r="H283" s="2">
        <v>10</v>
      </c>
      <c r="I283" s="7">
        <v>91808</v>
      </c>
      <c r="J283" s="12">
        <f t="shared" si="14"/>
        <v>6.2467323109097243E-2</v>
      </c>
      <c r="K283" s="7">
        <v>91296</v>
      </c>
      <c r="L283" s="2">
        <v>182</v>
      </c>
      <c r="M283" s="2" t="s">
        <v>61</v>
      </c>
      <c r="N283" t="s">
        <v>61</v>
      </c>
      <c r="O283" s="2" t="s">
        <v>30</v>
      </c>
      <c r="P283">
        <f t="shared" si="13"/>
        <v>5735</v>
      </c>
    </row>
    <row r="284" spans="1:16" ht="15.75" customHeight="1" x14ac:dyDescent="0.25">
      <c r="A284" s="2" t="s">
        <v>276</v>
      </c>
      <c r="B284" s="2" t="s">
        <v>13</v>
      </c>
      <c r="C284" s="4" t="s">
        <v>277</v>
      </c>
      <c r="D284" s="144" t="s">
        <v>51</v>
      </c>
      <c r="E284" s="2" t="s">
        <v>131</v>
      </c>
      <c r="F284" s="2">
        <v>2493</v>
      </c>
      <c r="G284" s="2">
        <v>97</v>
      </c>
      <c r="H284" s="2">
        <v>44</v>
      </c>
      <c r="I284" s="7">
        <v>42381</v>
      </c>
      <c r="J284" s="12">
        <f t="shared" si="14"/>
        <v>6.2150491965739366E-2</v>
      </c>
      <c r="K284" s="7">
        <v>41991</v>
      </c>
      <c r="L284" s="2">
        <v>242</v>
      </c>
      <c r="M284" s="2" t="s">
        <v>61</v>
      </c>
      <c r="N284" t="s">
        <v>36</v>
      </c>
      <c r="O284" s="2" t="s">
        <v>24</v>
      </c>
      <c r="P284">
        <f t="shared" si="13"/>
        <v>2634</v>
      </c>
    </row>
    <row r="285" spans="1:16" ht="15.75" customHeight="1" x14ac:dyDescent="0.25">
      <c r="A285" s="2" t="s">
        <v>445</v>
      </c>
      <c r="B285" s="2" t="s">
        <v>13</v>
      </c>
      <c r="C285" s="4" t="s">
        <v>359</v>
      </c>
      <c r="D285" s="144" t="s">
        <v>51</v>
      </c>
      <c r="E285" s="2" t="s">
        <v>131</v>
      </c>
      <c r="F285" s="2">
        <v>3338</v>
      </c>
      <c r="G285" s="2">
        <v>277</v>
      </c>
      <c r="H285" s="2">
        <v>118</v>
      </c>
      <c r="I285" s="7">
        <v>60084</v>
      </c>
      <c r="J285" s="12">
        <f t="shared" si="14"/>
        <v>6.2129685107516146E-2</v>
      </c>
      <c r="K285" s="7">
        <v>59842</v>
      </c>
      <c r="L285" s="2">
        <v>252</v>
      </c>
      <c r="M285" s="2" t="s">
        <v>29</v>
      </c>
      <c r="N285" t="s">
        <v>36</v>
      </c>
      <c r="O285" s="2" t="s">
        <v>37</v>
      </c>
      <c r="P285">
        <f t="shared" si="13"/>
        <v>3733</v>
      </c>
    </row>
    <row r="286" spans="1:16" ht="15.75" customHeight="1" x14ac:dyDescent="0.25">
      <c r="A286" s="2" t="s">
        <v>533</v>
      </c>
      <c r="B286" s="2" t="s">
        <v>26</v>
      </c>
      <c r="C286" s="4" t="s">
        <v>194</v>
      </c>
      <c r="D286" s="144" t="s">
        <v>51</v>
      </c>
      <c r="E286" s="2" t="s">
        <v>52</v>
      </c>
      <c r="F286" s="2">
        <v>4905</v>
      </c>
      <c r="G286" s="2">
        <v>845</v>
      </c>
      <c r="H286" s="2">
        <v>129</v>
      </c>
      <c r="I286" s="7">
        <v>98100</v>
      </c>
      <c r="J286" s="12">
        <f t="shared" si="14"/>
        <v>5.9928644240570844E-2</v>
      </c>
      <c r="K286" s="7">
        <v>97772</v>
      </c>
      <c r="L286" s="2">
        <v>279</v>
      </c>
      <c r="M286" s="2" t="s">
        <v>36</v>
      </c>
      <c r="N286" t="s">
        <v>36</v>
      </c>
      <c r="P286">
        <f t="shared" si="13"/>
        <v>5879</v>
      </c>
    </row>
    <row r="287" spans="1:16" ht="15.75" customHeight="1" x14ac:dyDescent="0.25">
      <c r="A287" s="2" t="s">
        <v>97</v>
      </c>
      <c r="B287" s="2" t="s">
        <v>13</v>
      </c>
      <c r="C287" s="4" t="s">
        <v>98</v>
      </c>
      <c r="D287" s="144" t="s">
        <v>44</v>
      </c>
      <c r="E287" s="2" t="s">
        <v>48</v>
      </c>
      <c r="F287" s="2">
        <v>3128</v>
      </c>
      <c r="G287" s="2">
        <v>211</v>
      </c>
      <c r="H287" s="2">
        <v>197</v>
      </c>
      <c r="I287" s="7">
        <v>59432</v>
      </c>
      <c r="J287" s="12">
        <f t="shared" si="14"/>
        <v>5.9496567505720827E-2</v>
      </c>
      <c r="K287" s="7">
        <v>59182</v>
      </c>
      <c r="L287" s="2">
        <v>238</v>
      </c>
      <c r="M287" s="2" t="s">
        <v>61</v>
      </c>
      <c r="N287" t="s">
        <v>609</v>
      </c>
      <c r="O287" s="2" t="s">
        <v>30</v>
      </c>
      <c r="P287">
        <f t="shared" si="13"/>
        <v>3536</v>
      </c>
    </row>
    <row r="288" spans="1:16" ht="15.75" customHeight="1" x14ac:dyDescent="0.25">
      <c r="A288" s="2" t="s">
        <v>71</v>
      </c>
      <c r="B288" s="2" t="s">
        <v>42</v>
      </c>
      <c r="C288" s="4" t="s">
        <v>72</v>
      </c>
      <c r="D288" s="144" t="s">
        <v>73</v>
      </c>
      <c r="E288" s="2" t="s">
        <v>74</v>
      </c>
      <c r="F288" s="2">
        <v>3888</v>
      </c>
      <c r="G288" s="2">
        <v>604</v>
      </c>
      <c r="H288" s="2">
        <v>128</v>
      </c>
      <c r="I288" s="7">
        <v>77760</v>
      </c>
      <c r="J288" s="12">
        <f t="shared" si="14"/>
        <v>5.941358024691358E-2</v>
      </c>
      <c r="K288" s="7">
        <v>77167</v>
      </c>
      <c r="L288" s="2">
        <v>20</v>
      </c>
      <c r="M288" s="2" t="s">
        <v>36</v>
      </c>
      <c r="N288" t="s">
        <v>36</v>
      </c>
      <c r="O288" s="2" t="s">
        <v>18</v>
      </c>
      <c r="P288">
        <f t="shared" si="13"/>
        <v>4620</v>
      </c>
    </row>
    <row r="289" spans="1:16" ht="15.75" customHeight="1" x14ac:dyDescent="0.25">
      <c r="A289" s="2" t="s">
        <v>559</v>
      </c>
      <c r="B289" s="2" t="s">
        <v>13</v>
      </c>
      <c r="C289" s="4" t="s">
        <v>560</v>
      </c>
      <c r="D289" s="144" t="s">
        <v>73</v>
      </c>
      <c r="E289" s="2" t="s">
        <v>144</v>
      </c>
      <c r="F289" s="2">
        <v>3440</v>
      </c>
      <c r="G289" s="2">
        <v>13</v>
      </c>
      <c r="H289" s="2">
        <v>20</v>
      </c>
      <c r="I289" s="7">
        <v>58480</v>
      </c>
      <c r="J289" s="12">
        <f t="shared" si="14"/>
        <v>5.9387824897400819E-2</v>
      </c>
      <c r="K289" s="7">
        <v>58146</v>
      </c>
      <c r="L289" s="2">
        <v>210</v>
      </c>
      <c r="M289" s="2" t="s">
        <v>61</v>
      </c>
      <c r="N289" t="s">
        <v>29</v>
      </c>
      <c r="O289" s="2" t="s">
        <v>30</v>
      </c>
      <c r="P289">
        <f t="shared" si="13"/>
        <v>3473</v>
      </c>
    </row>
    <row r="290" spans="1:16" ht="15.75" customHeight="1" x14ac:dyDescent="0.25">
      <c r="A290" s="2" t="s">
        <v>563</v>
      </c>
      <c r="B290" s="2" t="s">
        <v>42</v>
      </c>
      <c r="C290" s="4" t="s">
        <v>72</v>
      </c>
      <c r="D290" s="144" t="s">
        <v>51</v>
      </c>
      <c r="E290" s="2" t="s">
        <v>58</v>
      </c>
      <c r="F290" s="2">
        <v>4303</v>
      </c>
      <c r="G290" s="2">
        <v>451</v>
      </c>
      <c r="H290" s="2">
        <v>286</v>
      </c>
      <c r="I290" s="7">
        <v>86060</v>
      </c>
      <c r="J290" s="12">
        <f t="shared" si="14"/>
        <v>5.8563792702765516E-2</v>
      </c>
      <c r="K290" s="7">
        <v>85823</v>
      </c>
      <c r="L290" s="2">
        <v>14</v>
      </c>
      <c r="M290" s="2" t="s">
        <v>61</v>
      </c>
      <c r="N290" t="s">
        <v>29</v>
      </c>
      <c r="P290">
        <f t="shared" si="13"/>
        <v>5040</v>
      </c>
    </row>
    <row r="291" spans="1:16" ht="15.75" customHeight="1" x14ac:dyDescent="0.25">
      <c r="A291" s="2" t="s">
        <v>436</v>
      </c>
      <c r="B291" s="2" t="s">
        <v>26</v>
      </c>
      <c r="C291" s="4" t="s">
        <v>267</v>
      </c>
      <c r="D291" s="144" t="s">
        <v>34</v>
      </c>
      <c r="E291" s="2" t="s">
        <v>153</v>
      </c>
      <c r="F291" s="2">
        <v>1509</v>
      </c>
      <c r="G291" s="2">
        <v>88</v>
      </c>
      <c r="H291" s="2">
        <v>163</v>
      </c>
      <c r="I291" s="7">
        <v>30180</v>
      </c>
      <c r="J291" s="12">
        <f t="shared" si="14"/>
        <v>5.8316766070245198E-2</v>
      </c>
      <c r="K291" s="7">
        <v>29689</v>
      </c>
      <c r="L291" s="2">
        <v>119</v>
      </c>
      <c r="M291" s="2" t="s">
        <v>36</v>
      </c>
      <c r="N291" t="s">
        <v>36</v>
      </c>
      <c r="O291" s="2" t="s">
        <v>37</v>
      </c>
      <c r="P291">
        <f t="shared" si="13"/>
        <v>1760</v>
      </c>
    </row>
    <row r="292" spans="1:16" ht="15.75" customHeight="1" x14ac:dyDescent="0.25">
      <c r="A292" s="2" t="s">
        <v>539</v>
      </c>
      <c r="B292" s="2" t="s">
        <v>13</v>
      </c>
      <c r="C292" s="4" t="s">
        <v>540</v>
      </c>
      <c r="D292" s="144" t="s">
        <v>15</v>
      </c>
      <c r="E292" s="2" t="s">
        <v>16</v>
      </c>
      <c r="F292" s="2">
        <v>3367</v>
      </c>
      <c r="G292" s="2">
        <v>302</v>
      </c>
      <c r="H292" s="2">
        <v>57</v>
      </c>
      <c r="I292" s="7">
        <v>63973</v>
      </c>
      <c r="J292" s="12">
        <f t="shared" si="14"/>
        <v>5.8243321401216137E-2</v>
      </c>
      <c r="K292" s="7">
        <v>63789</v>
      </c>
      <c r="L292" s="2">
        <v>157</v>
      </c>
      <c r="M292" s="2" t="s">
        <v>36</v>
      </c>
      <c r="N292" t="s">
        <v>609</v>
      </c>
      <c r="O292" s="2" t="s">
        <v>37</v>
      </c>
      <c r="P292">
        <f t="shared" si="13"/>
        <v>3726</v>
      </c>
    </row>
    <row r="293" spans="1:16" ht="15.75" customHeight="1" x14ac:dyDescent="0.25">
      <c r="A293" s="2" t="s">
        <v>496</v>
      </c>
      <c r="B293" s="2" t="s">
        <v>26</v>
      </c>
      <c r="C293" s="4" t="s">
        <v>251</v>
      </c>
      <c r="D293" s="144" t="s">
        <v>44</v>
      </c>
      <c r="E293" s="2" t="s">
        <v>67</v>
      </c>
      <c r="F293" s="2">
        <v>2143</v>
      </c>
      <c r="G293" s="2">
        <v>12</v>
      </c>
      <c r="H293" s="2">
        <v>204</v>
      </c>
      <c r="I293" s="7">
        <v>40717</v>
      </c>
      <c r="J293" s="12">
        <f t="shared" si="14"/>
        <v>5.7936488444630008E-2</v>
      </c>
      <c r="K293" s="7">
        <v>40125</v>
      </c>
      <c r="L293" s="2">
        <v>248</v>
      </c>
      <c r="M293" s="2" t="s">
        <v>94</v>
      </c>
      <c r="N293" t="s">
        <v>36</v>
      </c>
      <c r="P293">
        <f t="shared" si="13"/>
        <v>2359</v>
      </c>
    </row>
    <row r="294" spans="1:16" ht="15.75" customHeight="1" x14ac:dyDescent="0.25">
      <c r="A294" s="2" t="s">
        <v>108</v>
      </c>
      <c r="B294" s="2" t="s">
        <v>32</v>
      </c>
      <c r="C294" s="4" t="s">
        <v>109</v>
      </c>
      <c r="D294" s="144" t="s">
        <v>73</v>
      </c>
      <c r="E294" s="2" t="s">
        <v>84</v>
      </c>
      <c r="F294" s="2">
        <v>3095</v>
      </c>
      <c r="G294" s="2">
        <v>39</v>
      </c>
      <c r="H294" s="2">
        <v>78</v>
      </c>
      <c r="I294" s="7">
        <v>55710</v>
      </c>
      <c r="J294" s="12">
        <f t="shared" si="14"/>
        <v>5.7655717106444085E-2</v>
      </c>
      <c r="K294" s="7">
        <v>54808</v>
      </c>
      <c r="L294" s="2">
        <v>93</v>
      </c>
      <c r="M294" s="2" t="s">
        <v>36</v>
      </c>
      <c r="N294" t="s">
        <v>29</v>
      </c>
      <c r="O294" s="2" t="s">
        <v>18</v>
      </c>
      <c r="P294">
        <f t="shared" si="13"/>
        <v>3212</v>
      </c>
    </row>
    <row r="295" spans="1:16" ht="15.75" customHeight="1" x14ac:dyDescent="0.25">
      <c r="A295" s="2" t="s">
        <v>416</v>
      </c>
      <c r="B295" s="2" t="s">
        <v>32</v>
      </c>
      <c r="C295" s="4" t="s">
        <v>417</v>
      </c>
      <c r="D295" s="144" t="s">
        <v>44</v>
      </c>
      <c r="E295" s="2" t="s">
        <v>87</v>
      </c>
      <c r="F295" s="2">
        <v>3773</v>
      </c>
      <c r="G295" s="2">
        <v>299</v>
      </c>
      <c r="H295" s="2">
        <v>38</v>
      </c>
      <c r="I295" s="7">
        <v>71687</v>
      </c>
      <c r="J295" s="12">
        <f t="shared" si="14"/>
        <v>5.7332570758993957E-2</v>
      </c>
      <c r="K295" s="7">
        <v>71447</v>
      </c>
      <c r="L295" s="2">
        <v>286</v>
      </c>
      <c r="M295" s="2" t="s">
        <v>36</v>
      </c>
      <c r="N295" t="s">
        <v>61</v>
      </c>
      <c r="O295" s="2" t="s">
        <v>30</v>
      </c>
      <c r="P295">
        <f t="shared" si="13"/>
        <v>4110</v>
      </c>
    </row>
    <row r="296" spans="1:16" ht="15.75" customHeight="1" x14ac:dyDescent="0.25">
      <c r="A296" s="2" t="s">
        <v>448</v>
      </c>
      <c r="B296" s="2" t="s">
        <v>13</v>
      </c>
      <c r="C296" s="4" t="s">
        <v>374</v>
      </c>
      <c r="D296" s="144" t="s">
        <v>44</v>
      </c>
      <c r="E296" s="2" t="s">
        <v>48</v>
      </c>
      <c r="F296" s="2">
        <v>4672</v>
      </c>
      <c r="G296" s="2">
        <v>325</v>
      </c>
      <c r="H296" s="2">
        <v>32</v>
      </c>
      <c r="I296" s="7">
        <v>88768</v>
      </c>
      <c r="J296" s="12">
        <f t="shared" si="14"/>
        <v>5.6653298485940883E-2</v>
      </c>
      <c r="K296" s="7">
        <v>87833</v>
      </c>
      <c r="L296" s="2">
        <v>118</v>
      </c>
      <c r="M296" s="2" t="s">
        <v>215</v>
      </c>
      <c r="N296" t="s">
        <v>29</v>
      </c>
      <c r="O296" s="2" t="s">
        <v>24</v>
      </c>
      <c r="P296">
        <f t="shared" si="13"/>
        <v>5029</v>
      </c>
    </row>
    <row r="297" spans="1:16" ht="15.75" customHeight="1" x14ac:dyDescent="0.25">
      <c r="A297" s="2" t="s">
        <v>321</v>
      </c>
      <c r="B297" s="2" t="s">
        <v>32</v>
      </c>
      <c r="C297" s="4" t="s">
        <v>33</v>
      </c>
      <c r="D297" s="144" t="s">
        <v>44</v>
      </c>
      <c r="E297" s="2" t="s">
        <v>87</v>
      </c>
      <c r="F297" s="2">
        <v>1878</v>
      </c>
      <c r="G297" s="2">
        <v>62</v>
      </c>
      <c r="H297" s="2">
        <v>179</v>
      </c>
      <c r="I297" s="7">
        <v>37560</v>
      </c>
      <c r="J297" s="12">
        <f t="shared" si="14"/>
        <v>5.6416400425985093E-2</v>
      </c>
      <c r="K297" s="7">
        <v>36874</v>
      </c>
      <c r="L297" s="2">
        <v>142</v>
      </c>
      <c r="M297" s="2" t="s">
        <v>420</v>
      </c>
      <c r="N297" t="s">
        <v>36</v>
      </c>
      <c r="O297" s="2" t="s">
        <v>37</v>
      </c>
      <c r="P297">
        <f t="shared" si="13"/>
        <v>2119</v>
      </c>
    </row>
    <row r="298" spans="1:16" ht="15.75" customHeight="1" x14ac:dyDescent="0.25">
      <c r="A298" s="2" t="s">
        <v>394</v>
      </c>
      <c r="B298" s="2" t="s">
        <v>26</v>
      </c>
      <c r="C298" s="4" t="s">
        <v>395</v>
      </c>
      <c r="D298" s="144" t="s">
        <v>21</v>
      </c>
      <c r="E298" s="2" t="s">
        <v>103</v>
      </c>
      <c r="F298" s="2">
        <v>1963</v>
      </c>
      <c r="G298" s="2">
        <v>213</v>
      </c>
      <c r="H298" s="2">
        <v>19</v>
      </c>
      <c r="I298" s="7">
        <v>39260</v>
      </c>
      <c r="J298" s="12">
        <f t="shared" si="14"/>
        <v>5.5909322465613857E-2</v>
      </c>
      <c r="K298" s="7">
        <v>38771</v>
      </c>
      <c r="L298" s="2">
        <v>145</v>
      </c>
      <c r="M298" s="2" t="s">
        <v>36</v>
      </c>
      <c r="N298" t="s">
        <v>29</v>
      </c>
      <c r="O298" s="2" t="s">
        <v>37</v>
      </c>
      <c r="P298">
        <f t="shared" si="13"/>
        <v>2195</v>
      </c>
    </row>
    <row r="299" spans="1:16" ht="15.75" customHeight="1" x14ac:dyDescent="0.25">
      <c r="A299" s="2" t="s">
        <v>25</v>
      </c>
      <c r="B299" s="2" t="s">
        <v>26</v>
      </c>
      <c r="C299" s="4" t="s">
        <v>27</v>
      </c>
      <c r="D299" s="144" t="s">
        <v>15</v>
      </c>
      <c r="E299" s="2" t="s">
        <v>28</v>
      </c>
      <c r="F299" s="2">
        <v>2795</v>
      </c>
      <c r="G299" s="2">
        <v>105</v>
      </c>
      <c r="H299" s="2">
        <v>49</v>
      </c>
      <c r="I299" s="7">
        <v>53105</v>
      </c>
      <c r="J299" s="12">
        <f t="shared" si="14"/>
        <v>5.5531494209584788E-2</v>
      </c>
      <c r="K299" s="7">
        <v>52307</v>
      </c>
      <c r="L299" s="2">
        <v>204</v>
      </c>
      <c r="M299" s="2" t="s">
        <v>29</v>
      </c>
      <c r="N299" t="s">
        <v>61</v>
      </c>
      <c r="O299" s="2" t="s">
        <v>30</v>
      </c>
      <c r="P299">
        <f t="shared" si="13"/>
        <v>2949</v>
      </c>
    </row>
    <row r="300" spans="1:16" ht="15.75" customHeight="1" x14ac:dyDescent="0.25">
      <c r="A300" s="2" t="s">
        <v>373</v>
      </c>
      <c r="B300" s="2" t="s">
        <v>42</v>
      </c>
      <c r="C300" s="4" t="s">
        <v>374</v>
      </c>
      <c r="D300" s="144" t="s">
        <v>73</v>
      </c>
      <c r="E300" s="2" t="s">
        <v>74</v>
      </c>
      <c r="F300" s="2">
        <v>3798</v>
      </c>
      <c r="G300" s="2">
        <v>31</v>
      </c>
      <c r="H300" s="2">
        <v>279</v>
      </c>
      <c r="I300" s="7">
        <v>75960</v>
      </c>
      <c r="J300" s="12">
        <f>(F300+G300+H300)/I300</f>
        <v>5.4081095313322801E-2</v>
      </c>
      <c r="K300" s="7">
        <v>75813</v>
      </c>
      <c r="L300" s="2">
        <v>266</v>
      </c>
      <c r="M300" s="2" t="s">
        <v>61</v>
      </c>
      <c r="N300" t="s">
        <v>36</v>
      </c>
      <c r="O300" s="2" t="s">
        <v>30</v>
      </c>
      <c r="P300">
        <f t="shared" si="13"/>
        <v>4108</v>
      </c>
    </row>
    <row r="301" spans="1:16" ht="15.75" customHeight="1" x14ac:dyDescent="0.25">
      <c r="A301" s="2" t="s">
        <v>179</v>
      </c>
      <c r="B301" s="2" t="s">
        <v>13</v>
      </c>
      <c r="C301" s="4" t="s">
        <v>114</v>
      </c>
      <c r="D301" s="144" t="s">
        <v>44</v>
      </c>
      <c r="E301" s="2" t="s">
        <v>48</v>
      </c>
      <c r="F301" s="2">
        <v>4507</v>
      </c>
      <c r="G301" s="2">
        <v>217</v>
      </c>
      <c r="H301" s="2">
        <v>13</v>
      </c>
      <c r="I301" s="7">
        <v>90140</v>
      </c>
      <c r="J301" s="12">
        <f>(F301+G301+H301)/I301</f>
        <v>5.2551586421122697E-2</v>
      </c>
      <c r="K301" s="7">
        <v>89591</v>
      </c>
      <c r="L301" s="2">
        <v>125</v>
      </c>
      <c r="M301" s="2" t="s">
        <v>504</v>
      </c>
      <c r="N301" t="s">
        <v>29</v>
      </c>
      <c r="O301" s="2" t="s">
        <v>18</v>
      </c>
      <c r="P301">
        <f t="shared" si="13"/>
        <v>4737</v>
      </c>
    </row>
    <row r="302" spans="1:16" ht="15.75" customHeight="1" x14ac:dyDescent="0.25">
      <c r="N302" t="s">
        <v>29</v>
      </c>
    </row>
    <row r="303" spans="1:16" ht="15.75" customHeight="1" x14ac:dyDescent="0.25">
      <c r="N303" t="s">
        <v>36</v>
      </c>
    </row>
    <row r="304" spans="1:16" ht="15.75" customHeight="1" x14ac:dyDescent="0.25">
      <c r="N304" t="s">
        <v>29</v>
      </c>
    </row>
    <row r="305" spans="14:14" ht="15.75" customHeight="1" x14ac:dyDescent="0.25">
      <c r="N305" t="s">
        <v>36</v>
      </c>
    </row>
    <row r="306" spans="14:14" ht="15.75" customHeight="1" x14ac:dyDescent="0.25">
      <c r="N306" t="s">
        <v>29</v>
      </c>
    </row>
    <row r="307" spans="14:14" ht="15.75" customHeight="1" x14ac:dyDescent="0.25">
      <c r="N307" t="s">
        <v>36</v>
      </c>
    </row>
    <row r="308" spans="14:14" ht="15.75" customHeight="1" x14ac:dyDescent="0.25">
      <c r="N308" t="s">
        <v>29</v>
      </c>
    </row>
    <row r="309" spans="14:14" ht="15.75" customHeight="1" x14ac:dyDescent="0.25">
      <c r="N309" t="s">
        <v>61</v>
      </c>
    </row>
    <row r="310" spans="14:14" ht="15.75" customHeight="1" x14ac:dyDescent="0.25">
      <c r="N310" t="s">
        <v>36</v>
      </c>
    </row>
    <row r="311" spans="14:14" ht="15.75" customHeight="1" x14ac:dyDescent="0.25">
      <c r="N311" t="s">
        <v>29</v>
      </c>
    </row>
    <row r="312" spans="14:14" ht="15.75" customHeight="1" x14ac:dyDescent="0.25">
      <c r="N312" t="s">
        <v>36</v>
      </c>
    </row>
    <row r="313" spans="14:14" ht="15.75" customHeight="1" x14ac:dyDescent="0.25">
      <c r="N313" t="s">
        <v>29</v>
      </c>
    </row>
    <row r="314" spans="14:14" ht="15.75" customHeight="1" x14ac:dyDescent="0.25">
      <c r="N314" t="s">
        <v>608</v>
      </c>
    </row>
    <row r="315" spans="14:14" ht="15.75" customHeight="1" x14ac:dyDescent="0.25">
      <c r="N315" t="s">
        <v>36</v>
      </c>
    </row>
    <row r="316" spans="14:14" ht="15.75" customHeight="1" x14ac:dyDescent="0.25">
      <c r="N316" t="s">
        <v>61</v>
      </c>
    </row>
    <row r="317" spans="14:14" ht="15.75" customHeight="1" x14ac:dyDescent="0.25">
      <c r="N317" t="s">
        <v>61</v>
      </c>
    </row>
    <row r="318" spans="14:14" ht="15.75" customHeight="1" x14ac:dyDescent="0.25">
      <c r="N318" t="s">
        <v>29</v>
      </c>
    </row>
    <row r="319" spans="14:14" ht="15.75" customHeight="1" x14ac:dyDescent="0.25">
      <c r="N319" t="s">
        <v>36</v>
      </c>
    </row>
    <row r="320" spans="14:14" ht="15.75" customHeight="1" x14ac:dyDescent="0.25">
      <c r="N320" t="s">
        <v>61</v>
      </c>
    </row>
    <row r="321" spans="14:14" ht="15.75" customHeight="1" x14ac:dyDescent="0.25">
      <c r="N321" t="s">
        <v>36</v>
      </c>
    </row>
    <row r="322" spans="14:14" ht="15.75" customHeight="1" x14ac:dyDescent="0.25">
      <c r="N322" t="s">
        <v>61</v>
      </c>
    </row>
    <row r="323" spans="14:14" ht="15.75" customHeight="1" x14ac:dyDescent="0.25">
      <c r="N323" t="s">
        <v>61</v>
      </c>
    </row>
    <row r="324" spans="14:14" ht="15.75" customHeight="1" x14ac:dyDescent="0.25">
      <c r="N324" t="s">
        <v>36</v>
      </c>
    </row>
    <row r="325" spans="14:14" ht="15.75" customHeight="1" x14ac:dyDescent="0.25">
      <c r="N325" t="s">
        <v>36</v>
      </c>
    </row>
    <row r="326" spans="14:14" ht="15.75" customHeight="1" x14ac:dyDescent="0.25">
      <c r="N326" t="s">
        <v>29</v>
      </c>
    </row>
    <row r="327" spans="14:14" ht="15.75" customHeight="1" x14ac:dyDescent="0.25">
      <c r="N327" t="s">
        <v>608</v>
      </c>
    </row>
    <row r="328" spans="14:14" ht="15.75" customHeight="1" x14ac:dyDescent="0.25">
      <c r="N328" t="s">
        <v>36</v>
      </c>
    </row>
    <row r="329" spans="14:14" ht="15.75" customHeight="1" x14ac:dyDescent="0.25">
      <c r="N329" t="s">
        <v>36</v>
      </c>
    </row>
    <row r="330" spans="14:14" ht="15.75" customHeight="1" x14ac:dyDescent="0.25">
      <c r="N330" t="s">
        <v>61</v>
      </c>
    </row>
    <row r="331" spans="14:14" ht="15.75" customHeight="1" x14ac:dyDescent="0.25">
      <c r="N331" t="s">
        <v>29</v>
      </c>
    </row>
    <row r="332" spans="14:14" ht="15.75" customHeight="1" x14ac:dyDescent="0.25">
      <c r="N332" t="s">
        <v>608</v>
      </c>
    </row>
    <row r="333" spans="14:14" ht="15.75" customHeight="1" x14ac:dyDescent="0.25">
      <c r="N333" t="s">
        <v>29</v>
      </c>
    </row>
    <row r="334" spans="14:14" ht="15.75" customHeight="1" x14ac:dyDescent="0.25">
      <c r="N334" t="s">
        <v>603</v>
      </c>
    </row>
    <row r="335" spans="14:14" ht="15.75" customHeight="1" x14ac:dyDescent="0.25">
      <c r="N335" t="s">
        <v>36</v>
      </c>
    </row>
    <row r="336" spans="14:14" ht="15.75" customHeight="1" x14ac:dyDescent="0.25">
      <c r="N336" t="s">
        <v>29</v>
      </c>
    </row>
    <row r="337" spans="14:14" ht="15.75" customHeight="1" x14ac:dyDescent="0.25">
      <c r="N337" t="s">
        <v>61</v>
      </c>
    </row>
    <row r="338" spans="14:14" ht="15.75" customHeight="1" x14ac:dyDescent="0.25">
      <c r="N338" t="s">
        <v>29</v>
      </c>
    </row>
    <row r="339" spans="14:14" ht="15.75" customHeight="1" x14ac:dyDescent="0.25">
      <c r="N339" t="s">
        <v>36</v>
      </c>
    </row>
    <row r="340" spans="14:14" ht="15.75" customHeight="1" x14ac:dyDescent="0.25">
      <c r="N340" t="s">
        <v>609</v>
      </c>
    </row>
    <row r="341" spans="14:14" ht="15.75" customHeight="1" x14ac:dyDescent="0.25">
      <c r="N341" t="s">
        <v>610</v>
      </c>
    </row>
    <row r="342" spans="14:14" ht="15.75" customHeight="1" x14ac:dyDescent="0.25">
      <c r="N342" t="s">
        <v>610</v>
      </c>
    </row>
    <row r="343" spans="14:14" ht="15.75" customHeight="1" x14ac:dyDescent="0.25">
      <c r="N343" t="s">
        <v>610</v>
      </c>
    </row>
    <row r="344" spans="14:14" ht="15.75" customHeight="1" x14ac:dyDescent="0.25">
      <c r="N344" t="s">
        <v>610</v>
      </c>
    </row>
    <row r="345" spans="14:14" ht="15.75" customHeight="1" x14ac:dyDescent="0.25">
      <c r="N345" t="s">
        <v>610</v>
      </c>
    </row>
    <row r="346" spans="14:14" ht="15.75" customHeight="1" x14ac:dyDescent="0.25">
      <c r="N346" t="s">
        <v>610</v>
      </c>
    </row>
    <row r="347" spans="14:14" ht="15.75" customHeight="1" x14ac:dyDescent="0.25">
      <c r="N347" t="s">
        <v>610</v>
      </c>
    </row>
    <row r="348" spans="14:14" ht="15.75" customHeight="1" x14ac:dyDescent="0.25">
      <c r="N348" t="s">
        <v>610</v>
      </c>
    </row>
    <row r="349" spans="14:14" ht="15.75" customHeight="1" x14ac:dyDescent="0.25">
      <c r="N349" t="s">
        <v>610</v>
      </c>
    </row>
    <row r="350" spans="14:14" ht="15.75" customHeight="1" x14ac:dyDescent="0.25">
      <c r="N350" t="s">
        <v>610</v>
      </c>
    </row>
    <row r="351" spans="14:14" ht="15.75" customHeight="1" x14ac:dyDescent="0.25">
      <c r="N351" t="s">
        <v>610</v>
      </c>
    </row>
    <row r="352" spans="14:14" ht="15.75" customHeight="1" x14ac:dyDescent="0.25">
      <c r="N352" t="s">
        <v>610</v>
      </c>
    </row>
    <row r="353" spans="14:14" ht="15.75" customHeight="1" x14ac:dyDescent="0.25">
      <c r="N353" t="s">
        <v>610</v>
      </c>
    </row>
    <row r="354" spans="14:14" ht="15.75" customHeight="1" x14ac:dyDescent="0.25">
      <c r="N354" t="s">
        <v>610</v>
      </c>
    </row>
    <row r="355" spans="14:14" ht="15.75" customHeight="1" x14ac:dyDescent="0.25">
      <c r="N355" t="s">
        <v>610</v>
      </c>
    </row>
    <row r="356" spans="14:14" ht="15.75" customHeight="1" x14ac:dyDescent="0.25">
      <c r="N356" t="s">
        <v>610</v>
      </c>
    </row>
    <row r="357" spans="14:14" ht="15.75" customHeight="1" x14ac:dyDescent="0.25">
      <c r="N357" t="s">
        <v>610</v>
      </c>
    </row>
    <row r="358" spans="14:14" ht="15.75" customHeight="1" x14ac:dyDescent="0.25">
      <c r="N358" t="s">
        <v>610</v>
      </c>
    </row>
    <row r="359" spans="14:14" ht="15.75" customHeight="1" x14ac:dyDescent="0.25">
      <c r="N359" t="s">
        <v>610</v>
      </c>
    </row>
    <row r="360" spans="14:14" ht="15.75" customHeight="1" x14ac:dyDescent="0.25">
      <c r="N360" t="s">
        <v>610</v>
      </c>
    </row>
    <row r="361" spans="14:14" ht="15.75" customHeight="1" x14ac:dyDescent="0.25">
      <c r="N361" t="s">
        <v>610</v>
      </c>
    </row>
    <row r="362" spans="14:14" ht="15.75" customHeight="1" x14ac:dyDescent="0.25">
      <c r="N362" t="s">
        <v>610</v>
      </c>
    </row>
    <row r="363" spans="14:14" ht="15.75" customHeight="1" x14ac:dyDescent="0.25">
      <c r="N363" t="s">
        <v>610</v>
      </c>
    </row>
    <row r="364" spans="14:14" ht="15.75" customHeight="1" x14ac:dyDescent="0.25">
      <c r="N364" t="s">
        <v>610</v>
      </c>
    </row>
    <row r="365" spans="14:14" ht="15.75" customHeight="1" x14ac:dyDescent="0.25">
      <c r="N365" t="s">
        <v>610</v>
      </c>
    </row>
    <row r="366" spans="14:14" ht="15.75" customHeight="1" x14ac:dyDescent="0.25">
      <c r="N366" t="s">
        <v>610</v>
      </c>
    </row>
    <row r="367" spans="14:14" ht="15.75" customHeight="1" x14ac:dyDescent="0.25">
      <c r="N367" t="s">
        <v>610</v>
      </c>
    </row>
    <row r="368" spans="14:14" ht="15.75" customHeight="1" x14ac:dyDescent="0.25">
      <c r="N368" t="s">
        <v>610</v>
      </c>
    </row>
    <row r="369" spans="14:14" ht="15.75" customHeight="1" x14ac:dyDescent="0.25">
      <c r="N369" t="s">
        <v>610</v>
      </c>
    </row>
    <row r="370" spans="14:14" ht="15.75" customHeight="1" x14ac:dyDescent="0.25">
      <c r="N370" t="s">
        <v>610</v>
      </c>
    </row>
    <row r="371" spans="14:14" ht="15.75" customHeight="1" x14ac:dyDescent="0.25">
      <c r="N371" t="s">
        <v>610</v>
      </c>
    </row>
    <row r="372" spans="14:14" ht="15.75" customHeight="1" x14ac:dyDescent="0.25">
      <c r="N372" t="s">
        <v>610</v>
      </c>
    </row>
    <row r="373" spans="14:14" ht="15.75" customHeight="1" x14ac:dyDescent="0.25">
      <c r="N373" t="s">
        <v>610</v>
      </c>
    </row>
    <row r="374" spans="14:14" ht="15.75" customHeight="1" x14ac:dyDescent="0.25">
      <c r="N374" t="s">
        <v>610</v>
      </c>
    </row>
    <row r="375" spans="14:14" ht="15.75" customHeight="1" x14ac:dyDescent="0.25">
      <c r="N375" t="s">
        <v>610</v>
      </c>
    </row>
    <row r="376" spans="14:14" ht="15.75" customHeight="1" x14ac:dyDescent="0.25">
      <c r="N376" t="s">
        <v>610</v>
      </c>
    </row>
    <row r="377" spans="14:14" ht="15.75" customHeight="1" x14ac:dyDescent="0.25">
      <c r="N377" t="s">
        <v>610</v>
      </c>
    </row>
    <row r="378" spans="14:14" ht="15.75" customHeight="1" x14ac:dyDescent="0.25">
      <c r="N378" t="s">
        <v>610</v>
      </c>
    </row>
    <row r="379" spans="14:14" ht="15.75" customHeight="1" x14ac:dyDescent="0.25">
      <c r="N379" t="s">
        <v>610</v>
      </c>
    </row>
    <row r="380" spans="14:14" ht="15.75" customHeight="1" x14ac:dyDescent="0.25">
      <c r="N380" t="s">
        <v>610</v>
      </c>
    </row>
    <row r="381" spans="14:14" ht="15.75" customHeight="1" x14ac:dyDescent="0.25">
      <c r="N381" t="s">
        <v>610</v>
      </c>
    </row>
    <row r="382" spans="14:14" ht="15.75" customHeight="1" x14ac:dyDescent="0.25">
      <c r="N382" t="s">
        <v>610</v>
      </c>
    </row>
    <row r="383" spans="14:14" ht="15.75" customHeight="1" x14ac:dyDescent="0.25">
      <c r="N383" t="s">
        <v>610</v>
      </c>
    </row>
    <row r="384" spans="14:14" ht="15.75" customHeight="1" x14ac:dyDescent="0.25">
      <c r="N384" t="s">
        <v>610</v>
      </c>
    </row>
    <row r="385" spans="14:14" ht="15.75" customHeight="1" x14ac:dyDescent="0.25">
      <c r="N385" t="s">
        <v>610</v>
      </c>
    </row>
    <row r="386" spans="14:14" ht="15.75" customHeight="1" x14ac:dyDescent="0.25">
      <c r="N386" t="s">
        <v>610</v>
      </c>
    </row>
    <row r="387" spans="14:14" ht="15.75" customHeight="1" x14ac:dyDescent="0.25">
      <c r="N387" t="s">
        <v>610</v>
      </c>
    </row>
    <row r="388" spans="14:14" ht="15.75" customHeight="1" x14ac:dyDescent="0.25">
      <c r="N388" t="s">
        <v>610</v>
      </c>
    </row>
    <row r="389" spans="14:14" ht="15.75" customHeight="1" x14ac:dyDescent="0.25">
      <c r="N389" t="s">
        <v>610</v>
      </c>
    </row>
    <row r="390" spans="14:14" ht="15.75" customHeight="1" x14ac:dyDescent="0.25">
      <c r="N390" t="s">
        <v>610</v>
      </c>
    </row>
    <row r="391" spans="14:14" ht="15.75" customHeight="1" x14ac:dyDescent="0.25">
      <c r="N391" t="s">
        <v>610</v>
      </c>
    </row>
    <row r="392" spans="14:14" ht="15.75" customHeight="1" x14ac:dyDescent="0.25">
      <c r="N392" t="s">
        <v>610</v>
      </c>
    </row>
    <row r="393" spans="14:14" ht="15.75" customHeight="1" x14ac:dyDescent="0.25">
      <c r="N393" t="s">
        <v>610</v>
      </c>
    </row>
    <row r="394" spans="14:14" ht="15.75" customHeight="1" x14ac:dyDescent="0.25">
      <c r="N394" t="s">
        <v>610</v>
      </c>
    </row>
    <row r="395" spans="14:14" ht="15.75" customHeight="1" x14ac:dyDescent="0.25">
      <c r="N395" t="s">
        <v>610</v>
      </c>
    </row>
    <row r="396" spans="14:14" ht="15.75" customHeight="1" x14ac:dyDescent="0.25">
      <c r="N396" t="s">
        <v>610</v>
      </c>
    </row>
    <row r="397" spans="14:14" ht="15.75" customHeight="1" x14ac:dyDescent="0.25">
      <c r="N397" t="s">
        <v>610</v>
      </c>
    </row>
    <row r="398" spans="14:14" ht="15.75" customHeight="1" x14ac:dyDescent="0.25">
      <c r="N398" t="s">
        <v>610</v>
      </c>
    </row>
    <row r="399" spans="14:14" ht="15.75" customHeight="1" x14ac:dyDescent="0.25">
      <c r="N399" t="s">
        <v>610</v>
      </c>
    </row>
    <row r="400" spans="14:14" ht="15.75" customHeight="1" x14ac:dyDescent="0.25">
      <c r="N400" t="s">
        <v>610</v>
      </c>
    </row>
    <row r="401" spans="14:14" ht="15.75" customHeight="1" x14ac:dyDescent="0.25">
      <c r="N401" t="s">
        <v>610</v>
      </c>
    </row>
    <row r="402" spans="14:14" ht="15.75" customHeight="1" x14ac:dyDescent="0.25">
      <c r="N402" t="s">
        <v>610</v>
      </c>
    </row>
    <row r="403" spans="14:14" ht="15.75" customHeight="1" x14ac:dyDescent="0.25">
      <c r="N403" t="s">
        <v>610</v>
      </c>
    </row>
    <row r="404" spans="14:14" ht="15.75" customHeight="1" x14ac:dyDescent="0.25">
      <c r="N404" t="s">
        <v>610</v>
      </c>
    </row>
    <row r="405" spans="14:14" ht="15.75" customHeight="1" x14ac:dyDescent="0.25">
      <c r="N405" t="s">
        <v>610</v>
      </c>
    </row>
    <row r="406" spans="14:14" ht="15.75" customHeight="1" x14ac:dyDescent="0.25">
      <c r="N406" t="s">
        <v>610</v>
      </c>
    </row>
    <row r="407" spans="14:14" ht="15.75" customHeight="1" x14ac:dyDescent="0.25">
      <c r="N407" t="s">
        <v>610</v>
      </c>
    </row>
    <row r="408" spans="14:14" ht="15.75" customHeight="1" x14ac:dyDescent="0.25">
      <c r="N408" t="s">
        <v>610</v>
      </c>
    </row>
    <row r="409" spans="14:14" ht="15.75" customHeight="1" x14ac:dyDescent="0.25">
      <c r="N409" t="s">
        <v>610</v>
      </c>
    </row>
    <row r="410" spans="14:14" ht="15.75" customHeight="1" x14ac:dyDescent="0.25">
      <c r="N410" t="s">
        <v>610</v>
      </c>
    </row>
    <row r="411" spans="14:14" ht="15.75" customHeight="1" x14ac:dyDescent="0.25">
      <c r="N411" t="s">
        <v>610</v>
      </c>
    </row>
    <row r="412" spans="14:14" ht="15.75" customHeight="1" x14ac:dyDescent="0.25">
      <c r="N412" t="s">
        <v>610</v>
      </c>
    </row>
    <row r="413" spans="14:14" ht="15.75" customHeight="1" x14ac:dyDescent="0.25">
      <c r="N413" t="s">
        <v>610</v>
      </c>
    </row>
    <row r="414" spans="14:14" ht="15.75" customHeight="1" x14ac:dyDescent="0.25">
      <c r="N414" t="s">
        <v>610</v>
      </c>
    </row>
    <row r="415" spans="14:14" ht="15.75" customHeight="1" x14ac:dyDescent="0.25">
      <c r="N415" t="s">
        <v>610</v>
      </c>
    </row>
    <row r="416" spans="14:14" ht="15.75" customHeight="1" x14ac:dyDescent="0.25">
      <c r="N416" t="s">
        <v>610</v>
      </c>
    </row>
    <row r="417" spans="14:14" ht="15.75" customHeight="1" x14ac:dyDescent="0.25">
      <c r="N417" t="s">
        <v>610</v>
      </c>
    </row>
    <row r="418" spans="14:14" ht="15.75" customHeight="1" x14ac:dyDescent="0.25">
      <c r="N418" t="s">
        <v>610</v>
      </c>
    </row>
    <row r="419" spans="14:14" ht="15.75" customHeight="1" x14ac:dyDescent="0.25">
      <c r="N419" t="s">
        <v>610</v>
      </c>
    </row>
    <row r="420" spans="14:14" ht="15.75" customHeight="1" x14ac:dyDescent="0.25">
      <c r="N420" t="s">
        <v>610</v>
      </c>
    </row>
    <row r="421" spans="14:14" ht="15.75" customHeight="1" x14ac:dyDescent="0.25">
      <c r="N421" t="s">
        <v>610</v>
      </c>
    </row>
    <row r="422" spans="14:14" ht="15.75" customHeight="1" x14ac:dyDescent="0.25">
      <c r="N422" t="s">
        <v>610</v>
      </c>
    </row>
    <row r="423" spans="14:14" ht="15.75" customHeight="1" x14ac:dyDescent="0.25">
      <c r="N423" t="s">
        <v>610</v>
      </c>
    </row>
    <row r="424" spans="14:14" ht="15.75" customHeight="1" x14ac:dyDescent="0.25">
      <c r="N424" t="s">
        <v>610</v>
      </c>
    </row>
    <row r="425" spans="14:14" ht="15.75" customHeight="1" x14ac:dyDescent="0.25">
      <c r="N425" t="s">
        <v>610</v>
      </c>
    </row>
    <row r="426" spans="14:14" ht="15.75" customHeight="1" x14ac:dyDescent="0.25">
      <c r="N426" t="s">
        <v>610</v>
      </c>
    </row>
    <row r="427" spans="14:14" ht="15.75" customHeight="1" x14ac:dyDescent="0.25">
      <c r="N427" t="s">
        <v>610</v>
      </c>
    </row>
    <row r="428" spans="14:14" ht="15.75" customHeight="1" x14ac:dyDescent="0.25">
      <c r="N428" t="s">
        <v>610</v>
      </c>
    </row>
    <row r="429" spans="14:14" ht="15.75" customHeight="1" x14ac:dyDescent="0.25">
      <c r="N429" t="s">
        <v>610</v>
      </c>
    </row>
    <row r="430" spans="14:14" ht="15.75" customHeight="1" x14ac:dyDescent="0.25">
      <c r="N430" t="s">
        <v>610</v>
      </c>
    </row>
    <row r="431" spans="14:14" ht="15.75" customHeight="1" x14ac:dyDescent="0.25">
      <c r="N431" t="s">
        <v>610</v>
      </c>
    </row>
    <row r="432" spans="14:14" ht="15.75" customHeight="1" x14ac:dyDescent="0.25">
      <c r="N432" t="s">
        <v>610</v>
      </c>
    </row>
    <row r="433" spans="14:14" ht="15.75" customHeight="1" x14ac:dyDescent="0.25">
      <c r="N433" t="s">
        <v>610</v>
      </c>
    </row>
    <row r="434" spans="14:14" ht="15.75" customHeight="1" x14ac:dyDescent="0.25">
      <c r="N434" t="s">
        <v>610</v>
      </c>
    </row>
    <row r="435" spans="14:14" ht="15.75" customHeight="1" x14ac:dyDescent="0.25">
      <c r="N435" t="s">
        <v>610</v>
      </c>
    </row>
    <row r="436" spans="14:14" ht="15.75" customHeight="1" x14ac:dyDescent="0.25">
      <c r="N436" t="s">
        <v>610</v>
      </c>
    </row>
    <row r="437" spans="14:14" ht="15.75" customHeight="1" x14ac:dyDescent="0.25">
      <c r="N437" t="s">
        <v>610</v>
      </c>
    </row>
    <row r="438" spans="14:14" ht="15.75" customHeight="1" x14ac:dyDescent="0.25">
      <c r="N438" t="s">
        <v>610</v>
      </c>
    </row>
    <row r="439" spans="14:14" ht="15.75" customHeight="1" x14ac:dyDescent="0.25">
      <c r="N439" t="s">
        <v>610</v>
      </c>
    </row>
    <row r="440" spans="14:14" ht="15.75" customHeight="1" x14ac:dyDescent="0.25">
      <c r="N440" t="s">
        <v>610</v>
      </c>
    </row>
    <row r="441" spans="14:14" ht="15.75" customHeight="1" x14ac:dyDescent="0.25">
      <c r="N441" t="s">
        <v>610</v>
      </c>
    </row>
    <row r="442" spans="14:14" ht="15.75" customHeight="1" x14ac:dyDescent="0.25">
      <c r="N442" t="s">
        <v>610</v>
      </c>
    </row>
    <row r="443" spans="14:14" ht="15.75" customHeight="1" x14ac:dyDescent="0.25">
      <c r="N443" t="s">
        <v>610</v>
      </c>
    </row>
    <row r="444" spans="14:14" ht="15.75" customHeight="1" x14ac:dyDescent="0.25">
      <c r="N444" t="s">
        <v>610</v>
      </c>
    </row>
    <row r="445" spans="14:14" ht="15.75" customHeight="1" x14ac:dyDescent="0.25">
      <c r="N445" t="s">
        <v>610</v>
      </c>
    </row>
    <row r="446" spans="14:14" ht="15.75" customHeight="1" x14ac:dyDescent="0.25">
      <c r="N446" t="s">
        <v>610</v>
      </c>
    </row>
    <row r="447" spans="14:14" ht="15.75" customHeight="1" x14ac:dyDescent="0.25">
      <c r="N447" t="s">
        <v>610</v>
      </c>
    </row>
    <row r="448" spans="14:14" ht="15.75" customHeight="1" x14ac:dyDescent="0.25">
      <c r="N448" t="s">
        <v>610</v>
      </c>
    </row>
    <row r="449" spans="14:14" ht="15.75" customHeight="1" x14ac:dyDescent="0.25">
      <c r="N449" t="s">
        <v>610</v>
      </c>
    </row>
    <row r="450" spans="14:14" ht="15.75" customHeight="1" x14ac:dyDescent="0.25">
      <c r="N450" t="s">
        <v>610</v>
      </c>
    </row>
    <row r="451" spans="14:14" ht="15.75" customHeight="1" x14ac:dyDescent="0.25">
      <c r="N451" t="s">
        <v>610</v>
      </c>
    </row>
    <row r="452" spans="14:14" ht="15.75" customHeight="1" x14ac:dyDescent="0.25">
      <c r="N452" t="s">
        <v>610</v>
      </c>
    </row>
    <row r="453" spans="14:14" ht="15.75" customHeight="1" x14ac:dyDescent="0.25">
      <c r="N453" t="s">
        <v>610</v>
      </c>
    </row>
    <row r="454" spans="14:14" ht="15.75" customHeight="1" x14ac:dyDescent="0.25">
      <c r="N454" t="s">
        <v>610</v>
      </c>
    </row>
    <row r="455" spans="14:14" ht="15.75" customHeight="1" x14ac:dyDescent="0.25">
      <c r="N455" t="s">
        <v>610</v>
      </c>
    </row>
    <row r="456" spans="14:14" ht="15.75" customHeight="1" x14ac:dyDescent="0.25">
      <c r="N456" t="s">
        <v>610</v>
      </c>
    </row>
    <row r="457" spans="14:14" ht="15.75" customHeight="1" x14ac:dyDescent="0.25">
      <c r="N457" t="s">
        <v>610</v>
      </c>
    </row>
    <row r="458" spans="14:14" ht="15.75" customHeight="1" x14ac:dyDescent="0.25">
      <c r="N458" t="s">
        <v>610</v>
      </c>
    </row>
    <row r="459" spans="14:14" ht="15.75" customHeight="1" x14ac:dyDescent="0.25">
      <c r="N459" t="s">
        <v>610</v>
      </c>
    </row>
    <row r="460" spans="14:14" ht="15.75" customHeight="1" x14ac:dyDescent="0.25">
      <c r="N460" t="s">
        <v>610</v>
      </c>
    </row>
    <row r="461" spans="14:14" ht="15.75" customHeight="1" x14ac:dyDescent="0.25">
      <c r="N461" t="s">
        <v>610</v>
      </c>
    </row>
    <row r="462" spans="14:14" ht="15.75" customHeight="1" x14ac:dyDescent="0.25">
      <c r="N462" t="s">
        <v>610</v>
      </c>
    </row>
    <row r="463" spans="14:14" ht="15.75" customHeight="1" x14ac:dyDescent="0.25">
      <c r="N463" t="s">
        <v>610</v>
      </c>
    </row>
    <row r="464" spans="14:14" ht="15.75" customHeight="1" x14ac:dyDescent="0.25">
      <c r="N464" t="s">
        <v>610</v>
      </c>
    </row>
    <row r="465" spans="14:14" ht="15.75" customHeight="1" x14ac:dyDescent="0.25">
      <c r="N465" t="s">
        <v>610</v>
      </c>
    </row>
    <row r="466" spans="14:14" ht="15.75" customHeight="1" x14ac:dyDescent="0.25">
      <c r="N466" t="s">
        <v>610</v>
      </c>
    </row>
    <row r="467" spans="14:14" ht="15.75" customHeight="1" x14ac:dyDescent="0.25">
      <c r="N467" t="s">
        <v>610</v>
      </c>
    </row>
    <row r="468" spans="14:14" ht="15.75" customHeight="1" x14ac:dyDescent="0.25">
      <c r="N468" t="s">
        <v>610</v>
      </c>
    </row>
    <row r="469" spans="14:14" ht="15.75" customHeight="1" x14ac:dyDescent="0.25">
      <c r="N469" t="s">
        <v>610</v>
      </c>
    </row>
    <row r="470" spans="14:14" ht="15.75" customHeight="1" x14ac:dyDescent="0.25">
      <c r="N470" t="s">
        <v>610</v>
      </c>
    </row>
    <row r="471" spans="14:14" ht="15.75" customHeight="1" x14ac:dyDescent="0.25">
      <c r="N471" t="s">
        <v>610</v>
      </c>
    </row>
    <row r="472" spans="14:14" ht="15.75" customHeight="1" x14ac:dyDescent="0.25">
      <c r="N472" t="s">
        <v>610</v>
      </c>
    </row>
    <row r="473" spans="14:14" ht="15.75" customHeight="1" x14ac:dyDescent="0.25">
      <c r="N473" t="s">
        <v>610</v>
      </c>
    </row>
    <row r="474" spans="14:14" ht="15.75" customHeight="1" x14ac:dyDescent="0.25">
      <c r="N474" t="s">
        <v>610</v>
      </c>
    </row>
    <row r="475" spans="14:14" ht="15.75" customHeight="1" x14ac:dyDescent="0.25">
      <c r="N475" t="s">
        <v>610</v>
      </c>
    </row>
    <row r="476" spans="14:14" ht="15.75" customHeight="1" x14ac:dyDescent="0.25">
      <c r="N476" t="s">
        <v>610</v>
      </c>
    </row>
    <row r="477" spans="14:14" ht="15.75" customHeight="1" x14ac:dyDescent="0.25">
      <c r="N477" t="s">
        <v>610</v>
      </c>
    </row>
    <row r="478" spans="14:14" ht="15.75" customHeight="1" x14ac:dyDescent="0.25">
      <c r="N478" t="s">
        <v>610</v>
      </c>
    </row>
    <row r="479" spans="14:14" ht="15.75" customHeight="1" x14ac:dyDescent="0.25">
      <c r="N479" t="s">
        <v>610</v>
      </c>
    </row>
    <row r="480" spans="14:14" ht="15.75" customHeight="1" x14ac:dyDescent="0.25">
      <c r="N480" t="s">
        <v>610</v>
      </c>
    </row>
    <row r="481" spans="14:14" ht="15.75" customHeight="1" x14ac:dyDescent="0.25">
      <c r="N481" t="s">
        <v>610</v>
      </c>
    </row>
    <row r="482" spans="14:14" ht="15.75" customHeight="1" x14ac:dyDescent="0.25">
      <c r="N482" t="s">
        <v>610</v>
      </c>
    </row>
    <row r="483" spans="14:14" ht="15.75" customHeight="1" x14ac:dyDescent="0.25">
      <c r="N483" t="s">
        <v>610</v>
      </c>
    </row>
    <row r="484" spans="14:14" ht="15.75" customHeight="1" x14ac:dyDescent="0.25">
      <c r="N484" t="s">
        <v>610</v>
      </c>
    </row>
    <row r="485" spans="14:14" ht="15.75" customHeight="1" x14ac:dyDescent="0.25">
      <c r="N485" t="s">
        <v>610</v>
      </c>
    </row>
    <row r="486" spans="14:14" ht="15.75" customHeight="1" x14ac:dyDescent="0.25">
      <c r="N486" t="s">
        <v>610</v>
      </c>
    </row>
    <row r="487" spans="14:14" ht="15.75" customHeight="1" x14ac:dyDescent="0.25">
      <c r="N487" t="s">
        <v>610</v>
      </c>
    </row>
    <row r="488" spans="14:14" ht="15.75" customHeight="1" x14ac:dyDescent="0.25">
      <c r="N488" t="s">
        <v>610</v>
      </c>
    </row>
    <row r="489" spans="14:14" ht="15.75" customHeight="1" x14ac:dyDescent="0.25">
      <c r="N489" t="s">
        <v>610</v>
      </c>
    </row>
    <row r="490" spans="14:14" ht="15.75" customHeight="1" x14ac:dyDescent="0.25">
      <c r="N490" t="s">
        <v>610</v>
      </c>
    </row>
    <row r="491" spans="14:14" ht="15.75" customHeight="1" x14ac:dyDescent="0.25">
      <c r="N491" t="s">
        <v>610</v>
      </c>
    </row>
    <row r="492" spans="14:14" ht="15.75" customHeight="1" x14ac:dyDescent="0.25">
      <c r="N492" t="s">
        <v>610</v>
      </c>
    </row>
    <row r="493" spans="14:14" ht="15.75" customHeight="1" x14ac:dyDescent="0.25">
      <c r="N493" t="s">
        <v>610</v>
      </c>
    </row>
    <row r="494" spans="14:14" ht="15.75" customHeight="1" x14ac:dyDescent="0.25">
      <c r="N494" t="s">
        <v>610</v>
      </c>
    </row>
    <row r="495" spans="14:14" ht="15.75" customHeight="1" x14ac:dyDescent="0.25">
      <c r="N495" t="s">
        <v>610</v>
      </c>
    </row>
    <row r="496" spans="14:14" ht="15.75" customHeight="1" x14ac:dyDescent="0.25">
      <c r="N496" t="s">
        <v>610</v>
      </c>
    </row>
    <row r="497" spans="14:14" ht="15.75" customHeight="1" x14ac:dyDescent="0.25">
      <c r="N497" t="s">
        <v>610</v>
      </c>
    </row>
    <row r="498" spans="14:14" ht="15.75" customHeight="1" x14ac:dyDescent="0.25">
      <c r="N498" t="s">
        <v>610</v>
      </c>
    </row>
    <row r="499" spans="14:14" ht="15.75" customHeight="1" x14ac:dyDescent="0.25">
      <c r="N499" t="s">
        <v>610</v>
      </c>
    </row>
    <row r="500" spans="14:14" ht="15.75" customHeight="1" x14ac:dyDescent="0.25">
      <c r="N500" t="s">
        <v>610</v>
      </c>
    </row>
    <row r="501" spans="14:14" ht="15.75" customHeight="1" x14ac:dyDescent="0.25">
      <c r="N501" t="s">
        <v>610</v>
      </c>
    </row>
    <row r="502" spans="14:14" ht="15.75" customHeight="1" x14ac:dyDescent="0.25">
      <c r="N502" t="s">
        <v>610</v>
      </c>
    </row>
    <row r="503" spans="14:14" ht="15.75" customHeight="1" x14ac:dyDescent="0.25">
      <c r="N503" t="s">
        <v>610</v>
      </c>
    </row>
    <row r="504" spans="14:14" ht="15.75" customHeight="1" x14ac:dyDescent="0.25">
      <c r="N504" t="s">
        <v>610</v>
      </c>
    </row>
    <row r="505" spans="14:14" ht="15.75" customHeight="1" x14ac:dyDescent="0.25">
      <c r="N505" t="s">
        <v>610</v>
      </c>
    </row>
    <row r="506" spans="14:14" ht="15.75" customHeight="1" x14ac:dyDescent="0.25">
      <c r="N506" t="s">
        <v>610</v>
      </c>
    </row>
    <row r="507" spans="14:14" ht="15.75" customHeight="1" x14ac:dyDescent="0.25">
      <c r="N507" t="s">
        <v>610</v>
      </c>
    </row>
    <row r="508" spans="14:14" ht="15.75" customHeight="1" x14ac:dyDescent="0.25">
      <c r="N508" t="s">
        <v>610</v>
      </c>
    </row>
    <row r="509" spans="14:14" ht="15.75" customHeight="1" x14ac:dyDescent="0.25">
      <c r="N509" t="s">
        <v>610</v>
      </c>
    </row>
    <row r="510" spans="14:14" ht="15.75" customHeight="1" x14ac:dyDescent="0.25">
      <c r="N510" t="s">
        <v>610</v>
      </c>
    </row>
    <row r="511" spans="14:14" ht="15.75" customHeight="1" x14ac:dyDescent="0.25">
      <c r="N511" t="s">
        <v>610</v>
      </c>
    </row>
    <row r="512" spans="14:14" ht="15.75" customHeight="1" x14ac:dyDescent="0.25">
      <c r="N512" t="s">
        <v>610</v>
      </c>
    </row>
    <row r="513" spans="14:14" ht="15.75" customHeight="1" x14ac:dyDescent="0.25">
      <c r="N513" t="s">
        <v>610</v>
      </c>
    </row>
    <row r="514" spans="14:14" ht="15.75" customHeight="1" x14ac:dyDescent="0.25">
      <c r="N514" t="s">
        <v>610</v>
      </c>
    </row>
    <row r="515" spans="14:14" ht="15.75" customHeight="1" x14ac:dyDescent="0.25">
      <c r="N515" t="s">
        <v>610</v>
      </c>
    </row>
    <row r="516" spans="14:14" ht="15.75" customHeight="1" x14ac:dyDescent="0.25">
      <c r="N516" t="s">
        <v>610</v>
      </c>
    </row>
    <row r="517" spans="14:14" ht="15.75" customHeight="1" x14ac:dyDescent="0.25">
      <c r="N517" t="s">
        <v>610</v>
      </c>
    </row>
    <row r="518" spans="14:14" ht="15.75" customHeight="1" x14ac:dyDescent="0.25">
      <c r="N518" t="s">
        <v>610</v>
      </c>
    </row>
    <row r="519" spans="14:14" ht="15.75" customHeight="1" x14ac:dyDescent="0.25">
      <c r="N519" t="s">
        <v>610</v>
      </c>
    </row>
    <row r="520" spans="14:14" ht="15.75" customHeight="1" x14ac:dyDescent="0.25">
      <c r="N520" t="s">
        <v>610</v>
      </c>
    </row>
    <row r="521" spans="14:14" ht="15.75" customHeight="1" x14ac:dyDescent="0.25">
      <c r="N521" t="s">
        <v>610</v>
      </c>
    </row>
    <row r="522" spans="14:14" ht="15.75" customHeight="1" x14ac:dyDescent="0.25">
      <c r="N522" t="s">
        <v>610</v>
      </c>
    </row>
    <row r="523" spans="14:14" ht="15.75" customHeight="1" x14ac:dyDescent="0.25">
      <c r="N523" t="s">
        <v>610</v>
      </c>
    </row>
    <row r="524" spans="14:14" ht="15.75" customHeight="1" x14ac:dyDescent="0.25">
      <c r="N524" t="s">
        <v>610</v>
      </c>
    </row>
    <row r="525" spans="14:14" ht="15.75" customHeight="1" x14ac:dyDescent="0.25">
      <c r="N525" t="s">
        <v>610</v>
      </c>
    </row>
    <row r="526" spans="14:14" ht="15.75" customHeight="1" x14ac:dyDescent="0.25">
      <c r="N526" t="s">
        <v>610</v>
      </c>
    </row>
    <row r="527" spans="14:14" ht="15.75" customHeight="1" x14ac:dyDescent="0.25">
      <c r="N527" t="s">
        <v>610</v>
      </c>
    </row>
    <row r="528" spans="14:14" ht="15.75" customHeight="1" x14ac:dyDescent="0.25">
      <c r="N528" t="s">
        <v>610</v>
      </c>
    </row>
    <row r="529" spans="14:14" ht="15.75" customHeight="1" x14ac:dyDescent="0.25">
      <c r="N529" t="s">
        <v>610</v>
      </c>
    </row>
    <row r="530" spans="14:14" ht="15.75" customHeight="1" x14ac:dyDescent="0.25">
      <c r="N530" t="s">
        <v>610</v>
      </c>
    </row>
    <row r="531" spans="14:14" ht="15.75" customHeight="1" x14ac:dyDescent="0.25">
      <c r="N531" t="s">
        <v>610</v>
      </c>
    </row>
    <row r="532" spans="14:14" ht="15.75" customHeight="1" x14ac:dyDescent="0.25">
      <c r="N532" t="s">
        <v>610</v>
      </c>
    </row>
    <row r="533" spans="14:14" ht="15.75" customHeight="1" x14ac:dyDescent="0.25">
      <c r="N533" t="s">
        <v>610</v>
      </c>
    </row>
    <row r="534" spans="14:14" ht="15.75" customHeight="1" x14ac:dyDescent="0.25">
      <c r="N534" t="s">
        <v>610</v>
      </c>
    </row>
    <row r="535" spans="14:14" ht="15.75" customHeight="1" x14ac:dyDescent="0.25">
      <c r="N535" t="s">
        <v>610</v>
      </c>
    </row>
    <row r="536" spans="14:14" ht="15.75" customHeight="1" x14ac:dyDescent="0.25">
      <c r="N536" t="s">
        <v>610</v>
      </c>
    </row>
    <row r="537" spans="14:14" ht="15.75" customHeight="1" x14ac:dyDescent="0.25">
      <c r="N537" t="s">
        <v>610</v>
      </c>
    </row>
    <row r="538" spans="14:14" ht="15.75" customHeight="1" x14ac:dyDescent="0.25">
      <c r="N538" t="s">
        <v>610</v>
      </c>
    </row>
    <row r="539" spans="14:14" ht="15.75" customHeight="1" x14ac:dyDescent="0.25">
      <c r="N539" t="s">
        <v>610</v>
      </c>
    </row>
    <row r="540" spans="14:14" ht="15.75" customHeight="1" x14ac:dyDescent="0.25">
      <c r="N540" t="s">
        <v>610</v>
      </c>
    </row>
    <row r="541" spans="14:14" ht="15.75" customHeight="1" x14ac:dyDescent="0.25">
      <c r="N541" t="s">
        <v>610</v>
      </c>
    </row>
    <row r="542" spans="14:14" ht="15.75" customHeight="1" x14ac:dyDescent="0.25">
      <c r="N542" t="s">
        <v>610</v>
      </c>
    </row>
    <row r="543" spans="14:14" ht="15.75" customHeight="1" x14ac:dyDescent="0.25">
      <c r="N543" t="s">
        <v>610</v>
      </c>
    </row>
    <row r="544" spans="14:14" ht="15.75" customHeight="1" x14ac:dyDescent="0.25">
      <c r="N544" t="s">
        <v>610</v>
      </c>
    </row>
    <row r="545" spans="14:14" ht="15.75" customHeight="1" x14ac:dyDescent="0.25">
      <c r="N545" t="s">
        <v>610</v>
      </c>
    </row>
    <row r="546" spans="14:14" ht="15.75" customHeight="1" x14ac:dyDescent="0.25">
      <c r="N546" t="s">
        <v>610</v>
      </c>
    </row>
    <row r="547" spans="14:14" ht="15.75" customHeight="1" x14ac:dyDescent="0.25">
      <c r="N547" t="s">
        <v>610</v>
      </c>
    </row>
    <row r="548" spans="14:14" ht="15.75" customHeight="1" x14ac:dyDescent="0.25">
      <c r="N548" t="s">
        <v>610</v>
      </c>
    </row>
    <row r="549" spans="14:14" ht="15.75" customHeight="1" x14ac:dyDescent="0.25">
      <c r="N549" t="s">
        <v>610</v>
      </c>
    </row>
    <row r="550" spans="14:14" ht="15.75" customHeight="1" x14ac:dyDescent="0.25">
      <c r="N550" t="s">
        <v>610</v>
      </c>
    </row>
    <row r="551" spans="14:14" ht="15.75" customHeight="1" x14ac:dyDescent="0.25">
      <c r="N551" t="s">
        <v>610</v>
      </c>
    </row>
    <row r="552" spans="14:14" ht="15.75" customHeight="1" x14ac:dyDescent="0.25">
      <c r="N552" t="s">
        <v>610</v>
      </c>
    </row>
    <row r="553" spans="14:14" ht="15.75" customHeight="1" x14ac:dyDescent="0.25">
      <c r="N553" t="s">
        <v>610</v>
      </c>
    </row>
    <row r="554" spans="14:14" ht="15.75" customHeight="1" x14ac:dyDescent="0.25">
      <c r="N554" t="s">
        <v>610</v>
      </c>
    </row>
    <row r="555" spans="14:14" ht="15.75" customHeight="1" x14ac:dyDescent="0.25">
      <c r="N555" t="s">
        <v>610</v>
      </c>
    </row>
    <row r="556" spans="14:14" ht="15.75" customHeight="1" x14ac:dyDescent="0.25">
      <c r="N556" t="s">
        <v>610</v>
      </c>
    </row>
    <row r="557" spans="14:14" ht="15.75" customHeight="1" x14ac:dyDescent="0.25">
      <c r="N557" t="s">
        <v>610</v>
      </c>
    </row>
    <row r="558" spans="14:14" ht="15.75" customHeight="1" x14ac:dyDescent="0.25">
      <c r="N558" t="s">
        <v>610</v>
      </c>
    </row>
    <row r="559" spans="14:14" ht="15.75" customHeight="1" x14ac:dyDescent="0.25">
      <c r="N559" t="s">
        <v>610</v>
      </c>
    </row>
    <row r="560" spans="14:14" ht="15.75" customHeight="1" x14ac:dyDescent="0.25">
      <c r="N560" t="s">
        <v>610</v>
      </c>
    </row>
    <row r="561" spans="14:14" ht="15.75" customHeight="1" x14ac:dyDescent="0.25">
      <c r="N561" t="s">
        <v>610</v>
      </c>
    </row>
    <row r="562" spans="14:14" ht="15.75" customHeight="1" x14ac:dyDescent="0.25">
      <c r="N562" t="s">
        <v>610</v>
      </c>
    </row>
    <row r="563" spans="14:14" ht="15.75" customHeight="1" x14ac:dyDescent="0.25">
      <c r="N563" t="s">
        <v>610</v>
      </c>
    </row>
    <row r="564" spans="14:14" ht="15.75" customHeight="1" x14ac:dyDescent="0.25">
      <c r="N564" t="s">
        <v>610</v>
      </c>
    </row>
    <row r="565" spans="14:14" ht="15.75" customHeight="1" x14ac:dyDescent="0.25">
      <c r="N565" t="s">
        <v>610</v>
      </c>
    </row>
    <row r="566" spans="14:14" ht="15.75" customHeight="1" x14ac:dyDescent="0.25">
      <c r="N566" t="s">
        <v>610</v>
      </c>
    </row>
    <row r="567" spans="14:14" ht="15.75" customHeight="1" x14ac:dyDescent="0.25">
      <c r="N567" t="s">
        <v>610</v>
      </c>
    </row>
    <row r="568" spans="14:14" ht="15.75" customHeight="1" x14ac:dyDescent="0.25">
      <c r="N568" t="s">
        <v>610</v>
      </c>
    </row>
    <row r="569" spans="14:14" ht="15.75" customHeight="1" x14ac:dyDescent="0.25">
      <c r="N569" t="s">
        <v>610</v>
      </c>
    </row>
    <row r="570" spans="14:14" ht="15.75" customHeight="1" x14ac:dyDescent="0.25">
      <c r="N570" t="s">
        <v>610</v>
      </c>
    </row>
    <row r="571" spans="14:14" ht="15.75" customHeight="1" x14ac:dyDescent="0.25">
      <c r="N571" t="s">
        <v>610</v>
      </c>
    </row>
    <row r="572" spans="14:14" ht="15.75" customHeight="1" x14ac:dyDescent="0.25">
      <c r="N572" t="s">
        <v>610</v>
      </c>
    </row>
    <row r="573" spans="14:14" ht="15.75" customHeight="1" x14ac:dyDescent="0.25">
      <c r="N573" t="s">
        <v>610</v>
      </c>
    </row>
    <row r="574" spans="14:14" ht="15.75" customHeight="1" x14ac:dyDescent="0.25">
      <c r="N574" t="s">
        <v>610</v>
      </c>
    </row>
    <row r="575" spans="14:14" ht="15.75" customHeight="1" x14ac:dyDescent="0.25">
      <c r="N575" t="s">
        <v>610</v>
      </c>
    </row>
    <row r="576" spans="14:14" ht="15.75" customHeight="1" x14ac:dyDescent="0.25">
      <c r="N576" t="s">
        <v>610</v>
      </c>
    </row>
    <row r="577" spans="14:14" ht="15.75" customHeight="1" x14ac:dyDescent="0.25">
      <c r="N577" t="s">
        <v>610</v>
      </c>
    </row>
    <row r="578" spans="14:14" ht="15.75" customHeight="1" x14ac:dyDescent="0.25">
      <c r="N578" t="s">
        <v>610</v>
      </c>
    </row>
    <row r="579" spans="14:14" ht="15.75" customHeight="1" x14ac:dyDescent="0.25">
      <c r="N579" t="s">
        <v>610</v>
      </c>
    </row>
    <row r="580" spans="14:14" ht="15.75" customHeight="1" x14ac:dyDescent="0.25">
      <c r="N580" t="s">
        <v>610</v>
      </c>
    </row>
    <row r="581" spans="14:14" ht="15.75" customHeight="1" x14ac:dyDescent="0.25">
      <c r="N581" t="s">
        <v>610</v>
      </c>
    </row>
    <row r="582" spans="14:14" ht="15.75" customHeight="1" x14ac:dyDescent="0.25">
      <c r="N582" t="s">
        <v>610</v>
      </c>
    </row>
    <row r="583" spans="14:14" ht="15.75" customHeight="1" x14ac:dyDescent="0.25">
      <c r="N583" t="s">
        <v>610</v>
      </c>
    </row>
    <row r="584" spans="14:14" ht="15.75" customHeight="1" x14ac:dyDescent="0.25">
      <c r="N584" t="s">
        <v>610</v>
      </c>
    </row>
    <row r="585" spans="14:14" ht="15.75" customHeight="1" x14ac:dyDescent="0.25">
      <c r="N585" t="s">
        <v>610</v>
      </c>
    </row>
    <row r="586" spans="14:14" ht="15.75" customHeight="1" x14ac:dyDescent="0.25">
      <c r="N586" t="s">
        <v>610</v>
      </c>
    </row>
    <row r="587" spans="14:14" ht="15.75" customHeight="1" x14ac:dyDescent="0.25">
      <c r="N587" t="s">
        <v>610</v>
      </c>
    </row>
    <row r="588" spans="14:14" ht="15.75" customHeight="1" x14ac:dyDescent="0.25">
      <c r="N588" t="s">
        <v>610</v>
      </c>
    </row>
    <row r="589" spans="14:14" ht="15.75" customHeight="1" x14ac:dyDescent="0.25">
      <c r="N589" t="s">
        <v>610</v>
      </c>
    </row>
    <row r="590" spans="14:14" ht="15.75" customHeight="1" x14ac:dyDescent="0.25">
      <c r="N590" t="s">
        <v>610</v>
      </c>
    </row>
    <row r="591" spans="14:14" ht="15.75" customHeight="1" x14ac:dyDescent="0.25">
      <c r="N591" t="s">
        <v>610</v>
      </c>
    </row>
    <row r="592" spans="14:14" ht="15.75" customHeight="1" x14ac:dyDescent="0.25">
      <c r="N592" t="s">
        <v>610</v>
      </c>
    </row>
    <row r="593" spans="14:14" ht="15.75" customHeight="1" x14ac:dyDescent="0.25">
      <c r="N593" t="s">
        <v>610</v>
      </c>
    </row>
    <row r="594" spans="14:14" ht="15.75" customHeight="1" x14ac:dyDescent="0.25">
      <c r="N594" t="s">
        <v>610</v>
      </c>
    </row>
    <row r="595" spans="14:14" ht="15.75" customHeight="1" x14ac:dyDescent="0.25">
      <c r="N595" t="s">
        <v>610</v>
      </c>
    </row>
    <row r="596" spans="14:14" ht="15.75" customHeight="1" x14ac:dyDescent="0.25">
      <c r="N596" t="s">
        <v>610</v>
      </c>
    </row>
    <row r="597" spans="14:14" ht="15.75" customHeight="1" x14ac:dyDescent="0.25">
      <c r="N597" t="s">
        <v>610</v>
      </c>
    </row>
    <row r="598" spans="14:14" ht="15.75" customHeight="1" x14ac:dyDescent="0.25">
      <c r="N598" t="s">
        <v>610</v>
      </c>
    </row>
    <row r="599" spans="14:14" ht="15.75" customHeight="1" x14ac:dyDescent="0.25">
      <c r="N599" t="s">
        <v>610</v>
      </c>
    </row>
    <row r="600" spans="14:14" ht="15.75" customHeight="1" x14ac:dyDescent="0.25">
      <c r="N600" t="s">
        <v>610</v>
      </c>
    </row>
    <row r="601" spans="14:14" ht="15.75" customHeight="1" x14ac:dyDescent="0.25">
      <c r="N601" t="s">
        <v>610</v>
      </c>
    </row>
    <row r="602" spans="14:14" ht="15.75" customHeight="1" x14ac:dyDescent="0.25">
      <c r="N602" t="s">
        <v>610</v>
      </c>
    </row>
    <row r="603" spans="14:14" ht="15.75" customHeight="1" x14ac:dyDescent="0.25">
      <c r="N603" t="s">
        <v>610</v>
      </c>
    </row>
    <row r="604" spans="14:14" ht="15.75" customHeight="1" x14ac:dyDescent="0.25">
      <c r="N604" t="s">
        <v>610</v>
      </c>
    </row>
    <row r="605" spans="14:14" ht="15.75" customHeight="1" x14ac:dyDescent="0.25">
      <c r="N605" t="s">
        <v>610</v>
      </c>
    </row>
    <row r="606" spans="14:14" ht="15.75" customHeight="1" x14ac:dyDescent="0.25">
      <c r="N606" t="s">
        <v>610</v>
      </c>
    </row>
    <row r="607" spans="14:14" ht="15.75" customHeight="1" x14ac:dyDescent="0.25">
      <c r="N607" t="s">
        <v>610</v>
      </c>
    </row>
    <row r="608" spans="14:14" ht="15.75" customHeight="1" x14ac:dyDescent="0.25">
      <c r="N608" t="s">
        <v>610</v>
      </c>
    </row>
    <row r="609" spans="14:14" ht="15.75" customHeight="1" x14ac:dyDescent="0.25">
      <c r="N609" t="s">
        <v>610</v>
      </c>
    </row>
    <row r="610" spans="14:14" ht="15.75" customHeight="1" x14ac:dyDescent="0.25">
      <c r="N610" t="s">
        <v>610</v>
      </c>
    </row>
    <row r="611" spans="14:14" ht="15.75" customHeight="1" x14ac:dyDescent="0.25">
      <c r="N611" t="s">
        <v>610</v>
      </c>
    </row>
    <row r="612" spans="14:14" ht="15.75" customHeight="1" x14ac:dyDescent="0.25">
      <c r="N612" t="s">
        <v>610</v>
      </c>
    </row>
    <row r="613" spans="14:14" ht="15.75" customHeight="1" x14ac:dyDescent="0.25">
      <c r="N613" t="s">
        <v>610</v>
      </c>
    </row>
    <row r="614" spans="14:14" ht="15.75" customHeight="1" x14ac:dyDescent="0.25">
      <c r="N614" t="s">
        <v>610</v>
      </c>
    </row>
    <row r="615" spans="14:14" ht="15.75" customHeight="1" x14ac:dyDescent="0.25">
      <c r="N615" t="s">
        <v>610</v>
      </c>
    </row>
    <row r="616" spans="14:14" ht="15.75" customHeight="1" x14ac:dyDescent="0.25">
      <c r="N616" t="s">
        <v>610</v>
      </c>
    </row>
    <row r="617" spans="14:14" ht="15.75" customHeight="1" x14ac:dyDescent="0.25">
      <c r="N617" t="s">
        <v>610</v>
      </c>
    </row>
    <row r="618" spans="14:14" ht="15.75" customHeight="1" x14ac:dyDescent="0.25">
      <c r="N618" t="s">
        <v>610</v>
      </c>
    </row>
    <row r="619" spans="14:14" ht="15.75" customHeight="1" x14ac:dyDescent="0.25">
      <c r="N619" t="s">
        <v>610</v>
      </c>
    </row>
    <row r="620" spans="14:14" ht="15.75" customHeight="1" x14ac:dyDescent="0.25">
      <c r="N620" t="s">
        <v>610</v>
      </c>
    </row>
    <row r="621" spans="14:14" ht="15.75" customHeight="1" x14ac:dyDescent="0.25">
      <c r="N621" t="s">
        <v>610</v>
      </c>
    </row>
    <row r="622" spans="14:14" ht="15.75" customHeight="1" x14ac:dyDescent="0.25">
      <c r="N622" t="s">
        <v>610</v>
      </c>
    </row>
    <row r="623" spans="14:14" ht="15.75" customHeight="1" x14ac:dyDescent="0.25">
      <c r="N623" t="s">
        <v>610</v>
      </c>
    </row>
    <row r="624" spans="14:14" ht="15.75" customHeight="1" x14ac:dyDescent="0.25">
      <c r="N624" t="s">
        <v>610</v>
      </c>
    </row>
    <row r="625" spans="14:14" ht="15.75" customHeight="1" x14ac:dyDescent="0.25">
      <c r="N625" t="s">
        <v>610</v>
      </c>
    </row>
    <row r="626" spans="14:14" ht="15.75" customHeight="1" x14ac:dyDescent="0.25">
      <c r="N626" t="s">
        <v>610</v>
      </c>
    </row>
    <row r="627" spans="14:14" ht="15.75" customHeight="1" x14ac:dyDescent="0.25">
      <c r="N627" t="s">
        <v>610</v>
      </c>
    </row>
    <row r="628" spans="14:14" ht="15.75" customHeight="1" x14ac:dyDescent="0.25">
      <c r="N628" t="s">
        <v>610</v>
      </c>
    </row>
    <row r="629" spans="14:14" ht="15.75" customHeight="1" x14ac:dyDescent="0.25">
      <c r="N629" t="s">
        <v>610</v>
      </c>
    </row>
    <row r="630" spans="14:14" ht="15.75" customHeight="1" x14ac:dyDescent="0.25">
      <c r="N630" t="s">
        <v>610</v>
      </c>
    </row>
    <row r="631" spans="14:14" ht="15.75" customHeight="1" x14ac:dyDescent="0.25">
      <c r="N631" t="s">
        <v>610</v>
      </c>
    </row>
    <row r="632" spans="14:14" ht="15.75" customHeight="1" x14ac:dyDescent="0.25">
      <c r="N632" t="s">
        <v>610</v>
      </c>
    </row>
    <row r="633" spans="14:14" ht="15.75" customHeight="1" x14ac:dyDescent="0.25">
      <c r="N633" t="s">
        <v>610</v>
      </c>
    </row>
    <row r="634" spans="14:14" ht="15.75" customHeight="1" x14ac:dyDescent="0.25">
      <c r="N634" t="s">
        <v>610</v>
      </c>
    </row>
    <row r="635" spans="14:14" ht="15.75" customHeight="1" x14ac:dyDescent="0.25">
      <c r="N635" t="s">
        <v>610</v>
      </c>
    </row>
    <row r="636" spans="14:14" ht="15.75" customHeight="1" x14ac:dyDescent="0.25">
      <c r="N636" t="s">
        <v>610</v>
      </c>
    </row>
    <row r="637" spans="14:14" ht="15.75" customHeight="1" x14ac:dyDescent="0.25">
      <c r="N637" t="s">
        <v>610</v>
      </c>
    </row>
    <row r="638" spans="14:14" ht="15.75" customHeight="1" x14ac:dyDescent="0.25">
      <c r="N638" t="s">
        <v>610</v>
      </c>
    </row>
    <row r="639" spans="14:14" ht="15.75" customHeight="1" x14ac:dyDescent="0.25">
      <c r="N639" t="s">
        <v>610</v>
      </c>
    </row>
    <row r="640" spans="14:14" ht="15.75" customHeight="1" x14ac:dyDescent="0.25">
      <c r="N640" t="s">
        <v>610</v>
      </c>
    </row>
    <row r="641" spans="14:14" ht="15.75" customHeight="1" x14ac:dyDescent="0.25">
      <c r="N641" t="s">
        <v>610</v>
      </c>
    </row>
    <row r="642" spans="14:14" ht="15.75" customHeight="1" x14ac:dyDescent="0.25">
      <c r="N642" t="s">
        <v>610</v>
      </c>
    </row>
    <row r="643" spans="14:14" ht="15.75" customHeight="1" x14ac:dyDescent="0.25">
      <c r="N643" t="s">
        <v>610</v>
      </c>
    </row>
    <row r="644" spans="14:14" ht="15.75" customHeight="1" x14ac:dyDescent="0.25">
      <c r="N644" t="s">
        <v>610</v>
      </c>
    </row>
    <row r="645" spans="14:14" ht="15.75" customHeight="1" x14ac:dyDescent="0.25">
      <c r="N645" t="s">
        <v>610</v>
      </c>
    </row>
    <row r="646" spans="14:14" ht="15.75" customHeight="1" x14ac:dyDescent="0.25">
      <c r="N646" t="s">
        <v>610</v>
      </c>
    </row>
    <row r="647" spans="14:14" ht="15.75" customHeight="1" x14ac:dyDescent="0.25">
      <c r="N647" t="s">
        <v>610</v>
      </c>
    </row>
    <row r="648" spans="14:14" ht="15.75" customHeight="1" x14ac:dyDescent="0.25">
      <c r="N648" t="s">
        <v>610</v>
      </c>
    </row>
    <row r="649" spans="14:14" ht="15.75" customHeight="1" x14ac:dyDescent="0.25">
      <c r="N649" t="s">
        <v>610</v>
      </c>
    </row>
    <row r="650" spans="14:14" ht="15.75" customHeight="1" x14ac:dyDescent="0.25">
      <c r="N650" t="s">
        <v>610</v>
      </c>
    </row>
    <row r="651" spans="14:14" ht="15.75" customHeight="1" x14ac:dyDescent="0.25">
      <c r="N651" t="s">
        <v>610</v>
      </c>
    </row>
    <row r="652" spans="14:14" ht="15.75" customHeight="1" x14ac:dyDescent="0.25">
      <c r="N652" t="s">
        <v>610</v>
      </c>
    </row>
    <row r="653" spans="14:14" ht="15.75" customHeight="1" x14ac:dyDescent="0.25">
      <c r="N653" t="s">
        <v>610</v>
      </c>
    </row>
    <row r="654" spans="14:14" ht="15.75" customHeight="1" x14ac:dyDescent="0.25">
      <c r="N654" t="s">
        <v>610</v>
      </c>
    </row>
    <row r="655" spans="14:14" ht="15.75" customHeight="1" x14ac:dyDescent="0.25">
      <c r="N655" t="s">
        <v>610</v>
      </c>
    </row>
    <row r="656" spans="14:14" ht="15.75" customHeight="1" x14ac:dyDescent="0.25">
      <c r="N656" t="s">
        <v>610</v>
      </c>
    </row>
    <row r="657" spans="14:14" ht="15.75" customHeight="1" x14ac:dyDescent="0.25">
      <c r="N657" t="s">
        <v>610</v>
      </c>
    </row>
    <row r="658" spans="14:14" ht="15.75" customHeight="1" x14ac:dyDescent="0.25">
      <c r="N658" t="s">
        <v>610</v>
      </c>
    </row>
    <row r="659" spans="14:14" ht="15.75" customHeight="1" x14ac:dyDescent="0.25">
      <c r="N659" t="s">
        <v>610</v>
      </c>
    </row>
    <row r="660" spans="14:14" ht="15.75" customHeight="1" x14ac:dyDescent="0.25">
      <c r="N660" t="s">
        <v>610</v>
      </c>
    </row>
    <row r="661" spans="14:14" ht="15.75" customHeight="1" x14ac:dyDescent="0.25">
      <c r="N661" t="s">
        <v>610</v>
      </c>
    </row>
    <row r="662" spans="14:14" ht="15.75" customHeight="1" x14ac:dyDescent="0.25">
      <c r="N662" t="s">
        <v>610</v>
      </c>
    </row>
    <row r="663" spans="14:14" ht="15.75" customHeight="1" x14ac:dyDescent="0.25">
      <c r="N663" t="s">
        <v>610</v>
      </c>
    </row>
    <row r="664" spans="14:14" ht="15.75" customHeight="1" x14ac:dyDescent="0.25">
      <c r="N664" t="s">
        <v>610</v>
      </c>
    </row>
    <row r="665" spans="14:14" ht="15.75" customHeight="1" x14ac:dyDescent="0.25">
      <c r="N665" t="s">
        <v>610</v>
      </c>
    </row>
    <row r="666" spans="14:14" ht="15.75" customHeight="1" x14ac:dyDescent="0.25">
      <c r="N666" t="s">
        <v>610</v>
      </c>
    </row>
    <row r="667" spans="14:14" ht="15.75" customHeight="1" x14ac:dyDescent="0.25">
      <c r="N667" t="s">
        <v>610</v>
      </c>
    </row>
    <row r="668" spans="14:14" ht="15.75" customHeight="1" x14ac:dyDescent="0.25">
      <c r="N668" t="s">
        <v>610</v>
      </c>
    </row>
    <row r="669" spans="14:14" ht="15.75" customHeight="1" x14ac:dyDescent="0.25">
      <c r="N669" t="s">
        <v>610</v>
      </c>
    </row>
    <row r="670" spans="14:14" ht="15.75" customHeight="1" x14ac:dyDescent="0.25">
      <c r="N670" t="s">
        <v>610</v>
      </c>
    </row>
    <row r="671" spans="14:14" ht="15.75" customHeight="1" x14ac:dyDescent="0.25">
      <c r="N671" t="s">
        <v>610</v>
      </c>
    </row>
    <row r="672" spans="14:14" ht="15.75" customHeight="1" x14ac:dyDescent="0.25">
      <c r="N672" t="s">
        <v>610</v>
      </c>
    </row>
    <row r="673" spans="14:14" ht="15.75" customHeight="1" x14ac:dyDescent="0.25">
      <c r="N673" t="s">
        <v>610</v>
      </c>
    </row>
    <row r="674" spans="14:14" ht="15.75" customHeight="1" x14ac:dyDescent="0.25">
      <c r="N674" t="s">
        <v>610</v>
      </c>
    </row>
    <row r="675" spans="14:14" ht="15.75" customHeight="1" x14ac:dyDescent="0.25">
      <c r="N675" t="s">
        <v>610</v>
      </c>
    </row>
    <row r="676" spans="14:14" ht="15.75" customHeight="1" x14ac:dyDescent="0.25">
      <c r="N676" t="s">
        <v>610</v>
      </c>
    </row>
    <row r="677" spans="14:14" ht="15.75" customHeight="1" x14ac:dyDescent="0.25">
      <c r="N677" t="s">
        <v>610</v>
      </c>
    </row>
    <row r="678" spans="14:14" ht="15.75" customHeight="1" x14ac:dyDescent="0.25">
      <c r="N678" t="s">
        <v>610</v>
      </c>
    </row>
    <row r="679" spans="14:14" ht="15.75" customHeight="1" x14ac:dyDescent="0.25">
      <c r="N679" t="s">
        <v>610</v>
      </c>
    </row>
    <row r="680" spans="14:14" ht="15.75" customHeight="1" x14ac:dyDescent="0.25">
      <c r="N680" t="s">
        <v>610</v>
      </c>
    </row>
    <row r="681" spans="14:14" ht="15.75" customHeight="1" x14ac:dyDescent="0.25">
      <c r="N681" t="s">
        <v>610</v>
      </c>
    </row>
    <row r="682" spans="14:14" ht="15.75" customHeight="1" x14ac:dyDescent="0.25">
      <c r="N682" t="s">
        <v>610</v>
      </c>
    </row>
    <row r="683" spans="14:14" ht="15.75" customHeight="1" x14ac:dyDescent="0.25">
      <c r="N683" t="s">
        <v>610</v>
      </c>
    </row>
    <row r="684" spans="14:14" ht="15.75" customHeight="1" x14ac:dyDescent="0.25">
      <c r="N684" t="s">
        <v>610</v>
      </c>
    </row>
    <row r="685" spans="14:14" ht="15.75" customHeight="1" x14ac:dyDescent="0.25">
      <c r="N685" t="s">
        <v>610</v>
      </c>
    </row>
    <row r="686" spans="14:14" ht="15.75" customHeight="1" x14ac:dyDescent="0.25">
      <c r="N686" t="s">
        <v>610</v>
      </c>
    </row>
    <row r="687" spans="14:14" ht="15.75" customHeight="1" x14ac:dyDescent="0.25">
      <c r="N687" t="s">
        <v>610</v>
      </c>
    </row>
    <row r="688" spans="14:14" ht="15.75" customHeight="1" x14ac:dyDescent="0.25">
      <c r="N688" t="s">
        <v>610</v>
      </c>
    </row>
    <row r="689" spans="14:14" ht="15.75" customHeight="1" x14ac:dyDescent="0.25">
      <c r="N689" t="s">
        <v>610</v>
      </c>
    </row>
    <row r="690" spans="14:14" ht="15.75" customHeight="1" x14ac:dyDescent="0.25">
      <c r="N690" t="s">
        <v>610</v>
      </c>
    </row>
    <row r="691" spans="14:14" ht="15.75" customHeight="1" x14ac:dyDescent="0.25">
      <c r="N691" t="s">
        <v>610</v>
      </c>
    </row>
    <row r="692" spans="14:14" ht="15.75" customHeight="1" x14ac:dyDescent="0.25">
      <c r="N692" t="s">
        <v>610</v>
      </c>
    </row>
    <row r="693" spans="14:14" ht="15.75" customHeight="1" x14ac:dyDescent="0.25">
      <c r="N693" t="s">
        <v>610</v>
      </c>
    </row>
    <row r="694" spans="14:14" ht="15.75" customHeight="1" x14ac:dyDescent="0.25">
      <c r="N694" t="s">
        <v>610</v>
      </c>
    </row>
    <row r="695" spans="14:14" ht="15.75" customHeight="1" x14ac:dyDescent="0.25">
      <c r="N695" t="s">
        <v>610</v>
      </c>
    </row>
    <row r="696" spans="14:14" ht="15.75" customHeight="1" x14ac:dyDescent="0.25">
      <c r="N696" t="s">
        <v>610</v>
      </c>
    </row>
    <row r="697" spans="14:14" ht="15.75" customHeight="1" x14ac:dyDescent="0.25">
      <c r="N697" t="s">
        <v>610</v>
      </c>
    </row>
    <row r="698" spans="14:14" ht="15.75" customHeight="1" x14ac:dyDescent="0.25">
      <c r="N698" t="s">
        <v>610</v>
      </c>
    </row>
    <row r="699" spans="14:14" ht="15.75" customHeight="1" x14ac:dyDescent="0.25">
      <c r="N699" t="s">
        <v>610</v>
      </c>
    </row>
    <row r="700" spans="14:14" ht="15.75" customHeight="1" x14ac:dyDescent="0.25">
      <c r="N700" t="s">
        <v>610</v>
      </c>
    </row>
    <row r="701" spans="14:14" ht="15.75" customHeight="1" x14ac:dyDescent="0.25">
      <c r="N701" t="s">
        <v>610</v>
      </c>
    </row>
    <row r="702" spans="14:14" ht="15.75" customHeight="1" x14ac:dyDescent="0.25">
      <c r="N702" t="s">
        <v>610</v>
      </c>
    </row>
    <row r="703" spans="14:14" ht="15.75" customHeight="1" x14ac:dyDescent="0.25">
      <c r="N703" t="s">
        <v>610</v>
      </c>
    </row>
    <row r="704" spans="14:14" ht="15.75" customHeight="1" x14ac:dyDescent="0.25">
      <c r="N704" t="s">
        <v>610</v>
      </c>
    </row>
    <row r="705" spans="14:14" ht="15.75" customHeight="1" x14ac:dyDescent="0.25">
      <c r="N705" t="s">
        <v>610</v>
      </c>
    </row>
    <row r="706" spans="14:14" ht="15.75" customHeight="1" x14ac:dyDescent="0.25">
      <c r="N706" t="s">
        <v>610</v>
      </c>
    </row>
    <row r="707" spans="14:14" ht="15.75" customHeight="1" x14ac:dyDescent="0.25">
      <c r="N707" t="s">
        <v>610</v>
      </c>
    </row>
    <row r="708" spans="14:14" ht="15.75" customHeight="1" x14ac:dyDescent="0.25">
      <c r="N708" t="s">
        <v>610</v>
      </c>
    </row>
    <row r="709" spans="14:14" ht="15.75" customHeight="1" x14ac:dyDescent="0.25">
      <c r="N709" t="s">
        <v>610</v>
      </c>
    </row>
    <row r="710" spans="14:14" ht="15.75" customHeight="1" x14ac:dyDescent="0.25">
      <c r="N710" t="s">
        <v>610</v>
      </c>
    </row>
    <row r="711" spans="14:14" ht="15.75" customHeight="1" x14ac:dyDescent="0.25">
      <c r="N711" t="s">
        <v>610</v>
      </c>
    </row>
    <row r="712" spans="14:14" ht="15.75" customHeight="1" x14ac:dyDescent="0.25">
      <c r="N712" t="s">
        <v>610</v>
      </c>
    </row>
    <row r="713" spans="14:14" ht="15.75" customHeight="1" x14ac:dyDescent="0.25">
      <c r="N713" t="s">
        <v>610</v>
      </c>
    </row>
    <row r="714" spans="14:14" ht="15.75" customHeight="1" x14ac:dyDescent="0.25">
      <c r="N714" t="s">
        <v>610</v>
      </c>
    </row>
    <row r="715" spans="14:14" ht="15.75" customHeight="1" x14ac:dyDescent="0.25">
      <c r="N715" t="s">
        <v>610</v>
      </c>
    </row>
    <row r="716" spans="14:14" ht="15.75" customHeight="1" x14ac:dyDescent="0.25">
      <c r="N716" t="s">
        <v>610</v>
      </c>
    </row>
    <row r="717" spans="14:14" ht="15.75" customHeight="1" x14ac:dyDescent="0.25">
      <c r="N717" t="s">
        <v>610</v>
      </c>
    </row>
    <row r="718" spans="14:14" ht="15.75" customHeight="1" x14ac:dyDescent="0.25">
      <c r="N718" t="s">
        <v>610</v>
      </c>
    </row>
    <row r="719" spans="14:14" ht="15.75" customHeight="1" x14ac:dyDescent="0.25">
      <c r="N719" t="s">
        <v>610</v>
      </c>
    </row>
    <row r="720" spans="14:14" ht="15.75" customHeight="1" x14ac:dyDescent="0.25">
      <c r="N720" t="s">
        <v>610</v>
      </c>
    </row>
    <row r="721" spans="14:14" ht="15.75" customHeight="1" x14ac:dyDescent="0.25">
      <c r="N721" t="s">
        <v>610</v>
      </c>
    </row>
    <row r="722" spans="14:14" ht="15.75" customHeight="1" x14ac:dyDescent="0.25">
      <c r="N722" t="s">
        <v>610</v>
      </c>
    </row>
    <row r="723" spans="14:14" ht="15.75" customHeight="1" x14ac:dyDescent="0.25">
      <c r="N723" t="s">
        <v>610</v>
      </c>
    </row>
    <row r="724" spans="14:14" ht="15.75" customHeight="1" x14ac:dyDescent="0.25">
      <c r="N724" t="s">
        <v>610</v>
      </c>
    </row>
    <row r="725" spans="14:14" ht="15.75" customHeight="1" x14ac:dyDescent="0.25">
      <c r="N725" t="s">
        <v>610</v>
      </c>
    </row>
    <row r="726" spans="14:14" ht="15.75" customHeight="1" x14ac:dyDescent="0.25">
      <c r="N726" t="s">
        <v>610</v>
      </c>
    </row>
    <row r="727" spans="14:14" ht="15.75" customHeight="1" x14ac:dyDescent="0.25">
      <c r="N727" t="s">
        <v>610</v>
      </c>
    </row>
    <row r="728" spans="14:14" ht="15.75" customHeight="1" x14ac:dyDescent="0.25">
      <c r="N728" t="s">
        <v>610</v>
      </c>
    </row>
    <row r="729" spans="14:14" ht="15.75" customHeight="1" x14ac:dyDescent="0.25">
      <c r="N729" t="s">
        <v>610</v>
      </c>
    </row>
    <row r="730" spans="14:14" ht="15.75" customHeight="1" x14ac:dyDescent="0.25">
      <c r="N730" t="s">
        <v>610</v>
      </c>
    </row>
    <row r="731" spans="14:14" ht="15.75" customHeight="1" x14ac:dyDescent="0.25">
      <c r="N731" t="s">
        <v>610</v>
      </c>
    </row>
    <row r="732" spans="14:14" ht="15.75" customHeight="1" x14ac:dyDescent="0.25">
      <c r="N732" t="s">
        <v>610</v>
      </c>
    </row>
    <row r="733" spans="14:14" ht="15.75" customHeight="1" x14ac:dyDescent="0.25">
      <c r="N733" t="s">
        <v>610</v>
      </c>
    </row>
    <row r="734" spans="14:14" ht="15.75" customHeight="1" x14ac:dyDescent="0.25">
      <c r="N734" t="s">
        <v>610</v>
      </c>
    </row>
    <row r="735" spans="14:14" ht="15.75" customHeight="1" x14ac:dyDescent="0.25">
      <c r="N735" t="s">
        <v>610</v>
      </c>
    </row>
    <row r="736" spans="14:14" ht="15.75" customHeight="1" x14ac:dyDescent="0.25">
      <c r="N736" t="s">
        <v>610</v>
      </c>
    </row>
    <row r="737" spans="14:14" ht="15.75" customHeight="1" x14ac:dyDescent="0.25">
      <c r="N737" t="s">
        <v>610</v>
      </c>
    </row>
    <row r="738" spans="14:14" ht="15.75" customHeight="1" x14ac:dyDescent="0.25">
      <c r="N738" t="s">
        <v>610</v>
      </c>
    </row>
    <row r="739" spans="14:14" ht="15.75" customHeight="1" x14ac:dyDescent="0.25">
      <c r="N739" t="s">
        <v>610</v>
      </c>
    </row>
    <row r="740" spans="14:14" ht="15.75" customHeight="1" x14ac:dyDescent="0.25">
      <c r="N740" t="s">
        <v>610</v>
      </c>
    </row>
    <row r="741" spans="14:14" ht="15.75" customHeight="1" x14ac:dyDescent="0.25">
      <c r="N741" t="s">
        <v>610</v>
      </c>
    </row>
    <row r="742" spans="14:14" ht="15.75" customHeight="1" x14ac:dyDescent="0.25">
      <c r="N742" t="s">
        <v>610</v>
      </c>
    </row>
    <row r="743" spans="14:14" ht="15.75" customHeight="1" x14ac:dyDescent="0.25">
      <c r="N743" t="s">
        <v>610</v>
      </c>
    </row>
    <row r="744" spans="14:14" ht="15.75" customHeight="1" x14ac:dyDescent="0.25">
      <c r="N744" t="s">
        <v>610</v>
      </c>
    </row>
    <row r="745" spans="14:14" ht="15.75" customHeight="1" x14ac:dyDescent="0.25">
      <c r="N745" t="s">
        <v>610</v>
      </c>
    </row>
    <row r="746" spans="14:14" ht="15.75" customHeight="1" x14ac:dyDescent="0.25">
      <c r="N746" t="s">
        <v>610</v>
      </c>
    </row>
    <row r="747" spans="14:14" ht="15.75" customHeight="1" x14ac:dyDescent="0.25">
      <c r="N747" t="s">
        <v>610</v>
      </c>
    </row>
    <row r="748" spans="14:14" ht="15.75" customHeight="1" x14ac:dyDescent="0.25">
      <c r="N748" t="s">
        <v>610</v>
      </c>
    </row>
    <row r="749" spans="14:14" ht="15.75" customHeight="1" x14ac:dyDescent="0.25">
      <c r="N749" t="s">
        <v>610</v>
      </c>
    </row>
    <row r="750" spans="14:14" ht="15.75" customHeight="1" x14ac:dyDescent="0.25">
      <c r="N750" t="s">
        <v>610</v>
      </c>
    </row>
    <row r="751" spans="14:14" ht="15.75" customHeight="1" x14ac:dyDescent="0.25">
      <c r="N751" t="s">
        <v>610</v>
      </c>
    </row>
    <row r="752" spans="14:14" ht="15.75" customHeight="1" x14ac:dyDescent="0.25">
      <c r="N752" t="s">
        <v>610</v>
      </c>
    </row>
    <row r="753" spans="14:14" ht="15.75" customHeight="1" x14ac:dyDescent="0.25">
      <c r="N753" t="s">
        <v>610</v>
      </c>
    </row>
    <row r="754" spans="14:14" ht="15.75" customHeight="1" x14ac:dyDescent="0.25">
      <c r="N754" t="s">
        <v>610</v>
      </c>
    </row>
    <row r="755" spans="14:14" ht="15.75" customHeight="1" x14ac:dyDescent="0.25">
      <c r="N755" t="s">
        <v>610</v>
      </c>
    </row>
    <row r="756" spans="14:14" ht="15.75" customHeight="1" x14ac:dyDescent="0.25">
      <c r="N756" t="s">
        <v>610</v>
      </c>
    </row>
    <row r="757" spans="14:14" ht="15.75" customHeight="1" x14ac:dyDescent="0.25">
      <c r="N757" t="s">
        <v>610</v>
      </c>
    </row>
    <row r="758" spans="14:14" ht="15.75" customHeight="1" x14ac:dyDescent="0.25">
      <c r="N758" t="s">
        <v>610</v>
      </c>
    </row>
    <row r="759" spans="14:14" ht="15.75" customHeight="1" x14ac:dyDescent="0.25">
      <c r="N759" t="s">
        <v>610</v>
      </c>
    </row>
    <row r="760" spans="14:14" ht="15.75" customHeight="1" x14ac:dyDescent="0.25">
      <c r="N760" t="s">
        <v>610</v>
      </c>
    </row>
    <row r="761" spans="14:14" ht="15.75" customHeight="1" x14ac:dyDescent="0.25">
      <c r="N761" t="s">
        <v>610</v>
      </c>
    </row>
    <row r="762" spans="14:14" ht="15.75" customHeight="1" x14ac:dyDescent="0.25">
      <c r="N762" t="s">
        <v>610</v>
      </c>
    </row>
    <row r="763" spans="14:14" ht="15.75" customHeight="1" x14ac:dyDescent="0.25">
      <c r="N763" t="s">
        <v>610</v>
      </c>
    </row>
    <row r="764" spans="14:14" ht="15.75" customHeight="1" x14ac:dyDescent="0.25">
      <c r="N764" t="s">
        <v>610</v>
      </c>
    </row>
    <row r="765" spans="14:14" ht="15.75" customHeight="1" x14ac:dyDescent="0.25">
      <c r="N765" t="s">
        <v>610</v>
      </c>
    </row>
    <row r="766" spans="14:14" ht="15.75" customHeight="1" x14ac:dyDescent="0.25">
      <c r="N766" t="s">
        <v>610</v>
      </c>
    </row>
    <row r="767" spans="14:14" ht="15.75" customHeight="1" x14ac:dyDescent="0.25">
      <c r="N767" t="s">
        <v>610</v>
      </c>
    </row>
    <row r="768" spans="14:14" ht="15.75" customHeight="1" x14ac:dyDescent="0.25">
      <c r="N768" t="s">
        <v>610</v>
      </c>
    </row>
    <row r="769" spans="14:14" ht="15.75" customHeight="1" x14ac:dyDescent="0.25">
      <c r="N769" t="s">
        <v>610</v>
      </c>
    </row>
    <row r="770" spans="14:14" ht="15.75" customHeight="1" x14ac:dyDescent="0.25">
      <c r="N770" t="s">
        <v>610</v>
      </c>
    </row>
    <row r="771" spans="14:14" ht="15.75" customHeight="1" x14ac:dyDescent="0.25">
      <c r="N771" t="s">
        <v>610</v>
      </c>
    </row>
    <row r="772" spans="14:14" ht="15.75" customHeight="1" x14ac:dyDescent="0.25">
      <c r="N772" t="s">
        <v>610</v>
      </c>
    </row>
    <row r="773" spans="14:14" ht="15.75" customHeight="1" x14ac:dyDescent="0.25">
      <c r="N773" t="s">
        <v>610</v>
      </c>
    </row>
    <row r="774" spans="14:14" ht="15.75" customHeight="1" x14ac:dyDescent="0.25">
      <c r="N774" t="s">
        <v>610</v>
      </c>
    </row>
    <row r="775" spans="14:14" ht="15.75" customHeight="1" x14ac:dyDescent="0.25">
      <c r="N775" t="s">
        <v>610</v>
      </c>
    </row>
    <row r="776" spans="14:14" ht="15.75" customHeight="1" x14ac:dyDescent="0.25">
      <c r="N776" t="s">
        <v>610</v>
      </c>
    </row>
    <row r="777" spans="14:14" ht="15.75" customHeight="1" x14ac:dyDescent="0.25">
      <c r="N777" t="s">
        <v>610</v>
      </c>
    </row>
    <row r="778" spans="14:14" ht="15.75" customHeight="1" x14ac:dyDescent="0.25">
      <c r="N778" t="s">
        <v>610</v>
      </c>
    </row>
    <row r="779" spans="14:14" ht="15.75" customHeight="1" x14ac:dyDescent="0.25">
      <c r="N779" t="s">
        <v>610</v>
      </c>
    </row>
    <row r="780" spans="14:14" ht="15.75" customHeight="1" x14ac:dyDescent="0.25">
      <c r="N780" t="s">
        <v>610</v>
      </c>
    </row>
    <row r="781" spans="14:14" ht="15.75" customHeight="1" x14ac:dyDescent="0.25">
      <c r="N781" t="s">
        <v>610</v>
      </c>
    </row>
    <row r="782" spans="14:14" ht="15.75" customHeight="1" x14ac:dyDescent="0.25">
      <c r="N782" t="s">
        <v>610</v>
      </c>
    </row>
    <row r="783" spans="14:14" ht="15.75" customHeight="1" x14ac:dyDescent="0.25">
      <c r="N783" t="s">
        <v>610</v>
      </c>
    </row>
    <row r="784" spans="14:14" ht="15.75" customHeight="1" x14ac:dyDescent="0.25">
      <c r="N784" t="s">
        <v>610</v>
      </c>
    </row>
    <row r="785" spans="14:14" ht="15.75" customHeight="1" x14ac:dyDescent="0.25">
      <c r="N785" t="s">
        <v>610</v>
      </c>
    </row>
    <row r="786" spans="14:14" ht="15.75" customHeight="1" x14ac:dyDescent="0.25">
      <c r="N786" t="s">
        <v>610</v>
      </c>
    </row>
    <row r="787" spans="14:14" ht="15.75" customHeight="1" x14ac:dyDescent="0.25">
      <c r="N787" t="s">
        <v>610</v>
      </c>
    </row>
    <row r="788" spans="14:14" ht="15.75" customHeight="1" x14ac:dyDescent="0.25">
      <c r="N788" t="s">
        <v>610</v>
      </c>
    </row>
    <row r="789" spans="14:14" ht="15.75" customHeight="1" x14ac:dyDescent="0.25">
      <c r="N789" t="s">
        <v>610</v>
      </c>
    </row>
    <row r="790" spans="14:14" ht="15.75" customHeight="1" x14ac:dyDescent="0.25">
      <c r="N790" t="s">
        <v>610</v>
      </c>
    </row>
    <row r="791" spans="14:14" ht="15.75" customHeight="1" x14ac:dyDescent="0.25">
      <c r="N791" t="s">
        <v>610</v>
      </c>
    </row>
    <row r="792" spans="14:14" ht="15.75" customHeight="1" x14ac:dyDescent="0.25">
      <c r="N792" t="s">
        <v>610</v>
      </c>
    </row>
    <row r="793" spans="14:14" ht="15.75" customHeight="1" x14ac:dyDescent="0.25">
      <c r="N793" t="s">
        <v>610</v>
      </c>
    </row>
    <row r="794" spans="14:14" ht="15.75" customHeight="1" x14ac:dyDescent="0.25">
      <c r="N794" t="s">
        <v>610</v>
      </c>
    </row>
    <row r="795" spans="14:14" ht="15.75" customHeight="1" x14ac:dyDescent="0.25">
      <c r="N795" t="s">
        <v>610</v>
      </c>
    </row>
    <row r="796" spans="14:14" ht="15.75" customHeight="1" x14ac:dyDescent="0.25">
      <c r="N796" t="s">
        <v>610</v>
      </c>
    </row>
    <row r="797" spans="14:14" ht="15.75" customHeight="1" x14ac:dyDescent="0.25">
      <c r="N797" t="s">
        <v>610</v>
      </c>
    </row>
    <row r="798" spans="14:14" ht="15.75" customHeight="1" x14ac:dyDescent="0.25">
      <c r="N798" t="s">
        <v>610</v>
      </c>
    </row>
    <row r="799" spans="14:14" ht="15.75" customHeight="1" x14ac:dyDescent="0.25">
      <c r="N799" t="s">
        <v>610</v>
      </c>
    </row>
    <row r="800" spans="14:14" ht="15.75" customHeight="1" x14ac:dyDescent="0.25">
      <c r="N800" t="s">
        <v>610</v>
      </c>
    </row>
    <row r="801" spans="14:14" ht="15.75" customHeight="1" x14ac:dyDescent="0.25">
      <c r="N801" t="s">
        <v>610</v>
      </c>
    </row>
    <row r="802" spans="14:14" ht="15.75" customHeight="1" x14ac:dyDescent="0.25">
      <c r="N802" t="s">
        <v>610</v>
      </c>
    </row>
    <row r="803" spans="14:14" ht="15.75" customHeight="1" x14ac:dyDescent="0.25">
      <c r="N803" t="s">
        <v>610</v>
      </c>
    </row>
    <row r="804" spans="14:14" ht="15.75" customHeight="1" x14ac:dyDescent="0.25">
      <c r="N804" t="s">
        <v>610</v>
      </c>
    </row>
    <row r="805" spans="14:14" ht="15.75" customHeight="1" x14ac:dyDescent="0.25">
      <c r="N805" t="s">
        <v>610</v>
      </c>
    </row>
    <row r="806" spans="14:14" ht="15.75" customHeight="1" x14ac:dyDescent="0.25">
      <c r="N806" t="s">
        <v>610</v>
      </c>
    </row>
    <row r="807" spans="14:14" ht="15.75" customHeight="1" x14ac:dyDescent="0.25">
      <c r="N807" t="s">
        <v>610</v>
      </c>
    </row>
    <row r="808" spans="14:14" ht="15.75" customHeight="1" x14ac:dyDescent="0.25">
      <c r="N808" t="s">
        <v>610</v>
      </c>
    </row>
    <row r="809" spans="14:14" ht="15.75" customHeight="1" x14ac:dyDescent="0.25">
      <c r="N809" t="s">
        <v>610</v>
      </c>
    </row>
    <row r="810" spans="14:14" ht="15.75" customHeight="1" x14ac:dyDescent="0.25">
      <c r="N810" t="s">
        <v>610</v>
      </c>
    </row>
    <row r="811" spans="14:14" ht="15.75" customHeight="1" x14ac:dyDescent="0.25">
      <c r="N811" t="s">
        <v>610</v>
      </c>
    </row>
    <row r="812" spans="14:14" ht="15.75" customHeight="1" x14ac:dyDescent="0.25">
      <c r="N812" t="s">
        <v>610</v>
      </c>
    </row>
    <row r="813" spans="14:14" ht="15.75" customHeight="1" x14ac:dyDescent="0.25">
      <c r="N813" t="s">
        <v>610</v>
      </c>
    </row>
    <row r="814" spans="14:14" ht="15.75" customHeight="1" x14ac:dyDescent="0.25">
      <c r="N814" t="s">
        <v>610</v>
      </c>
    </row>
    <row r="815" spans="14:14" ht="15.75" customHeight="1" x14ac:dyDescent="0.25">
      <c r="N815" t="s">
        <v>610</v>
      </c>
    </row>
    <row r="816" spans="14:14" ht="15.75" customHeight="1" x14ac:dyDescent="0.25">
      <c r="N816" t="s">
        <v>610</v>
      </c>
    </row>
    <row r="817" spans="14:14" ht="15.75" customHeight="1" x14ac:dyDescent="0.25">
      <c r="N817" t="s">
        <v>610</v>
      </c>
    </row>
    <row r="818" spans="14:14" ht="15.75" customHeight="1" x14ac:dyDescent="0.25">
      <c r="N818" t="s">
        <v>610</v>
      </c>
    </row>
    <row r="819" spans="14:14" ht="15.75" customHeight="1" x14ac:dyDescent="0.25">
      <c r="N819" t="s">
        <v>610</v>
      </c>
    </row>
    <row r="820" spans="14:14" ht="15.75" customHeight="1" x14ac:dyDescent="0.25">
      <c r="N820" t="s">
        <v>610</v>
      </c>
    </row>
    <row r="821" spans="14:14" ht="15.75" customHeight="1" x14ac:dyDescent="0.25">
      <c r="N821" t="s">
        <v>610</v>
      </c>
    </row>
    <row r="822" spans="14:14" ht="15.75" customHeight="1" x14ac:dyDescent="0.25">
      <c r="N822" t="s">
        <v>610</v>
      </c>
    </row>
    <row r="823" spans="14:14" ht="15.75" customHeight="1" x14ac:dyDescent="0.25">
      <c r="N823" t="s">
        <v>610</v>
      </c>
    </row>
    <row r="824" spans="14:14" ht="15.75" customHeight="1" x14ac:dyDescent="0.25">
      <c r="N824" t="s">
        <v>610</v>
      </c>
    </row>
    <row r="825" spans="14:14" ht="15.75" customHeight="1" x14ac:dyDescent="0.25">
      <c r="N825" t="s">
        <v>610</v>
      </c>
    </row>
    <row r="826" spans="14:14" ht="15.75" customHeight="1" x14ac:dyDescent="0.25">
      <c r="N826" t="s">
        <v>610</v>
      </c>
    </row>
    <row r="827" spans="14:14" ht="15.75" customHeight="1" x14ac:dyDescent="0.25">
      <c r="N827" t="s">
        <v>610</v>
      </c>
    </row>
    <row r="828" spans="14:14" ht="15.75" customHeight="1" x14ac:dyDescent="0.25">
      <c r="N828" t="s">
        <v>610</v>
      </c>
    </row>
    <row r="829" spans="14:14" ht="15.75" customHeight="1" x14ac:dyDescent="0.25">
      <c r="N829" t="s">
        <v>610</v>
      </c>
    </row>
    <row r="830" spans="14:14" ht="15.75" customHeight="1" x14ac:dyDescent="0.25">
      <c r="N830" t="s">
        <v>610</v>
      </c>
    </row>
    <row r="831" spans="14:14" ht="15.75" customHeight="1" x14ac:dyDescent="0.25">
      <c r="N831" t="s">
        <v>610</v>
      </c>
    </row>
    <row r="832" spans="14:14" ht="15.75" customHeight="1" x14ac:dyDescent="0.25">
      <c r="N832" t="s">
        <v>610</v>
      </c>
    </row>
    <row r="833" spans="14:14" ht="15.75" customHeight="1" x14ac:dyDescent="0.25">
      <c r="N833" t="s">
        <v>610</v>
      </c>
    </row>
    <row r="834" spans="14:14" ht="15.75" customHeight="1" x14ac:dyDescent="0.25">
      <c r="N834" t="s">
        <v>610</v>
      </c>
    </row>
    <row r="835" spans="14:14" ht="15.75" customHeight="1" x14ac:dyDescent="0.25">
      <c r="N835" t="s">
        <v>610</v>
      </c>
    </row>
    <row r="836" spans="14:14" ht="15.75" customHeight="1" x14ac:dyDescent="0.25">
      <c r="N836" t="s">
        <v>610</v>
      </c>
    </row>
    <row r="837" spans="14:14" ht="15.75" customHeight="1" x14ac:dyDescent="0.25">
      <c r="N837" t="s">
        <v>610</v>
      </c>
    </row>
    <row r="838" spans="14:14" ht="15.75" customHeight="1" x14ac:dyDescent="0.25">
      <c r="N838" t="s">
        <v>610</v>
      </c>
    </row>
    <row r="839" spans="14:14" ht="15.75" customHeight="1" x14ac:dyDescent="0.25">
      <c r="N839" t="s">
        <v>610</v>
      </c>
    </row>
    <row r="840" spans="14:14" ht="15.75" customHeight="1" x14ac:dyDescent="0.25">
      <c r="N840" t="s">
        <v>610</v>
      </c>
    </row>
    <row r="841" spans="14:14" ht="15.75" customHeight="1" x14ac:dyDescent="0.25">
      <c r="N841" t="s">
        <v>610</v>
      </c>
    </row>
    <row r="842" spans="14:14" ht="15.75" customHeight="1" x14ac:dyDescent="0.25">
      <c r="N842" t="s">
        <v>610</v>
      </c>
    </row>
    <row r="843" spans="14:14" ht="15.75" customHeight="1" x14ac:dyDescent="0.25">
      <c r="N843" t="s">
        <v>610</v>
      </c>
    </row>
    <row r="844" spans="14:14" ht="15.75" customHeight="1" x14ac:dyDescent="0.25">
      <c r="N844" t="s">
        <v>610</v>
      </c>
    </row>
    <row r="845" spans="14:14" ht="15.75" customHeight="1" x14ac:dyDescent="0.25">
      <c r="N845" t="s">
        <v>610</v>
      </c>
    </row>
    <row r="846" spans="14:14" ht="15.75" customHeight="1" x14ac:dyDescent="0.25">
      <c r="N846" t="s">
        <v>610</v>
      </c>
    </row>
    <row r="847" spans="14:14" ht="15.75" customHeight="1" x14ac:dyDescent="0.25">
      <c r="N847" t="s">
        <v>610</v>
      </c>
    </row>
    <row r="848" spans="14:14" ht="15.75" customHeight="1" x14ac:dyDescent="0.25">
      <c r="N848" t="s">
        <v>610</v>
      </c>
    </row>
    <row r="849" spans="14:14" ht="15.75" customHeight="1" x14ac:dyDescent="0.25">
      <c r="N849" t="s">
        <v>610</v>
      </c>
    </row>
    <row r="850" spans="14:14" ht="15.75" customHeight="1" x14ac:dyDescent="0.25">
      <c r="N850" t="s">
        <v>610</v>
      </c>
    </row>
    <row r="851" spans="14:14" ht="15.75" customHeight="1" x14ac:dyDescent="0.25">
      <c r="N851" t="s">
        <v>610</v>
      </c>
    </row>
    <row r="852" spans="14:14" ht="15.75" customHeight="1" x14ac:dyDescent="0.25">
      <c r="N852" t="s">
        <v>610</v>
      </c>
    </row>
    <row r="853" spans="14:14" ht="15.75" customHeight="1" x14ac:dyDescent="0.25">
      <c r="N853" t="s">
        <v>610</v>
      </c>
    </row>
    <row r="854" spans="14:14" ht="15.75" customHeight="1" x14ac:dyDescent="0.25">
      <c r="N854" t="s">
        <v>610</v>
      </c>
    </row>
    <row r="855" spans="14:14" ht="15.75" customHeight="1" x14ac:dyDescent="0.25">
      <c r="N855" t="s">
        <v>610</v>
      </c>
    </row>
    <row r="856" spans="14:14" ht="15.75" customHeight="1" x14ac:dyDescent="0.25">
      <c r="N856" t="s">
        <v>610</v>
      </c>
    </row>
    <row r="857" spans="14:14" ht="15.75" customHeight="1" x14ac:dyDescent="0.25">
      <c r="N857" t="s">
        <v>610</v>
      </c>
    </row>
    <row r="858" spans="14:14" ht="15.75" customHeight="1" x14ac:dyDescent="0.25">
      <c r="N858" t="s">
        <v>610</v>
      </c>
    </row>
    <row r="859" spans="14:14" ht="15.75" customHeight="1" x14ac:dyDescent="0.25">
      <c r="N859" t="s">
        <v>610</v>
      </c>
    </row>
    <row r="860" spans="14:14" ht="15.75" customHeight="1" x14ac:dyDescent="0.25">
      <c r="N860" t="s">
        <v>610</v>
      </c>
    </row>
    <row r="861" spans="14:14" ht="15.75" customHeight="1" x14ac:dyDescent="0.25">
      <c r="N861" t="s">
        <v>610</v>
      </c>
    </row>
    <row r="862" spans="14:14" ht="15.75" customHeight="1" x14ac:dyDescent="0.25">
      <c r="N862" t="s">
        <v>610</v>
      </c>
    </row>
    <row r="863" spans="14:14" ht="15.75" customHeight="1" x14ac:dyDescent="0.25">
      <c r="N863" t="s">
        <v>610</v>
      </c>
    </row>
    <row r="864" spans="14:14" ht="15.75" customHeight="1" x14ac:dyDescent="0.25">
      <c r="N864" t="s">
        <v>610</v>
      </c>
    </row>
    <row r="865" spans="14:14" ht="15.75" customHeight="1" x14ac:dyDescent="0.25">
      <c r="N865" t="s">
        <v>610</v>
      </c>
    </row>
    <row r="866" spans="14:14" ht="15.75" customHeight="1" x14ac:dyDescent="0.25">
      <c r="N866" t="s">
        <v>610</v>
      </c>
    </row>
    <row r="867" spans="14:14" ht="15.75" customHeight="1" x14ac:dyDescent="0.25">
      <c r="N867" t="s">
        <v>610</v>
      </c>
    </row>
    <row r="868" spans="14:14" ht="15.75" customHeight="1" x14ac:dyDescent="0.25">
      <c r="N868" t="s">
        <v>610</v>
      </c>
    </row>
    <row r="869" spans="14:14" ht="15.75" customHeight="1" x14ac:dyDescent="0.25">
      <c r="N869" t="s">
        <v>610</v>
      </c>
    </row>
    <row r="870" spans="14:14" ht="15.75" customHeight="1" x14ac:dyDescent="0.25">
      <c r="N870" t="s">
        <v>610</v>
      </c>
    </row>
    <row r="871" spans="14:14" ht="15.75" customHeight="1" x14ac:dyDescent="0.25">
      <c r="N871" t="s">
        <v>610</v>
      </c>
    </row>
    <row r="872" spans="14:14" ht="15.75" customHeight="1" x14ac:dyDescent="0.25">
      <c r="N872" t="s">
        <v>610</v>
      </c>
    </row>
    <row r="873" spans="14:14" ht="15.75" customHeight="1" x14ac:dyDescent="0.25">
      <c r="N873" t="s">
        <v>610</v>
      </c>
    </row>
    <row r="874" spans="14:14" ht="15.75" customHeight="1" x14ac:dyDescent="0.25">
      <c r="N874" t="s">
        <v>610</v>
      </c>
    </row>
    <row r="875" spans="14:14" ht="15.75" customHeight="1" x14ac:dyDescent="0.25">
      <c r="N875" t="s">
        <v>610</v>
      </c>
    </row>
    <row r="876" spans="14:14" ht="15.75" customHeight="1" x14ac:dyDescent="0.25">
      <c r="N876" t="s">
        <v>610</v>
      </c>
    </row>
    <row r="877" spans="14:14" ht="15.75" customHeight="1" x14ac:dyDescent="0.25">
      <c r="N877" t="s">
        <v>610</v>
      </c>
    </row>
    <row r="878" spans="14:14" ht="15.75" customHeight="1" x14ac:dyDescent="0.25">
      <c r="N878" t="s">
        <v>610</v>
      </c>
    </row>
    <row r="879" spans="14:14" ht="15.75" customHeight="1" x14ac:dyDescent="0.25">
      <c r="N879" t="s">
        <v>610</v>
      </c>
    </row>
    <row r="880" spans="14:14" ht="15.75" customHeight="1" x14ac:dyDescent="0.25">
      <c r="N880" t="s">
        <v>610</v>
      </c>
    </row>
    <row r="881" spans="14:14" ht="15.75" customHeight="1" x14ac:dyDescent="0.25">
      <c r="N881" t="s">
        <v>610</v>
      </c>
    </row>
    <row r="882" spans="14:14" ht="15.75" customHeight="1" x14ac:dyDescent="0.25">
      <c r="N882" t="s">
        <v>610</v>
      </c>
    </row>
    <row r="883" spans="14:14" ht="15.75" customHeight="1" x14ac:dyDescent="0.25">
      <c r="N883" t="s">
        <v>610</v>
      </c>
    </row>
    <row r="884" spans="14:14" ht="15.75" customHeight="1" x14ac:dyDescent="0.25">
      <c r="N884" t="s">
        <v>610</v>
      </c>
    </row>
    <row r="885" spans="14:14" ht="15.75" customHeight="1" x14ac:dyDescent="0.25">
      <c r="N885" t="s">
        <v>610</v>
      </c>
    </row>
    <row r="886" spans="14:14" ht="15.75" customHeight="1" x14ac:dyDescent="0.25">
      <c r="N886" t="s">
        <v>610</v>
      </c>
    </row>
    <row r="887" spans="14:14" ht="15.75" customHeight="1" x14ac:dyDescent="0.25">
      <c r="N887" t="s">
        <v>610</v>
      </c>
    </row>
    <row r="888" spans="14:14" ht="15.75" customHeight="1" x14ac:dyDescent="0.25">
      <c r="N888" t="s">
        <v>610</v>
      </c>
    </row>
    <row r="889" spans="14:14" ht="15.75" customHeight="1" x14ac:dyDescent="0.25">
      <c r="N889" t="s">
        <v>610</v>
      </c>
    </row>
    <row r="890" spans="14:14" ht="15.75" customHeight="1" x14ac:dyDescent="0.25">
      <c r="N890" t="s">
        <v>610</v>
      </c>
    </row>
    <row r="891" spans="14:14" ht="15.75" customHeight="1" x14ac:dyDescent="0.25">
      <c r="N891" t="s">
        <v>610</v>
      </c>
    </row>
    <row r="892" spans="14:14" ht="15.75" customHeight="1" x14ac:dyDescent="0.25">
      <c r="N892" t="s">
        <v>610</v>
      </c>
    </row>
    <row r="893" spans="14:14" ht="15.75" customHeight="1" x14ac:dyDescent="0.25">
      <c r="N893" t="s">
        <v>610</v>
      </c>
    </row>
    <row r="894" spans="14:14" ht="15.75" customHeight="1" x14ac:dyDescent="0.25">
      <c r="N894" t="s">
        <v>610</v>
      </c>
    </row>
    <row r="895" spans="14:14" ht="15.75" customHeight="1" x14ac:dyDescent="0.25">
      <c r="N895" t="s">
        <v>610</v>
      </c>
    </row>
    <row r="896" spans="14:14" ht="15.75" customHeight="1" x14ac:dyDescent="0.25">
      <c r="N896" t="s">
        <v>610</v>
      </c>
    </row>
    <row r="897" spans="14:14" ht="15.75" customHeight="1" x14ac:dyDescent="0.25">
      <c r="N897" t="s">
        <v>610</v>
      </c>
    </row>
    <row r="898" spans="14:14" ht="15.75" customHeight="1" x14ac:dyDescent="0.25">
      <c r="N898" t="s">
        <v>610</v>
      </c>
    </row>
    <row r="899" spans="14:14" ht="15.75" customHeight="1" x14ac:dyDescent="0.25">
      <c r="N899" t="s">
        <v>610</v>
      </c>
    </row>
    <row r="900" spans="14:14" ht="15.75" customHeight="1" x14ac:dyDescent="0.25">
      <c r="N900" t="s">
        <v>610</v>
      </c>
    </row>
    <row r="901" spans="14:14" ht="15.75" customHeight="1" x14ac:dyDescent="0.25">
      <c r="N901" t="s">
        <v>610</v>
      </c>
    </row>
    <row r="902" spans="14:14" ht="15.75" customHeight="1" x14ac:dyDescent="0.25">
      <c r="N902" t="s">
        <v>610</v>
      </c>
    </row>
    <row r="903" spans="14:14" ht="15.75" customHeight="1" x14ac:dyDescent="0.25">
      <c r="N903" t="s">
        <v>610</v>
      </c>
    </row>
    <row r="904" spans="14:14" ht="15.75" customHeight="1" x14ac:dyDescent="0.25">
      <c r="N904" t="s">
        <v>610</v>
      </c>
    </row>
    <row r="905" spans="14:14" ht="15.75" customHeight="1" x14ac:dyDescent="0.25">
      <c r="N905" t="s">
        <v>610</v>
      </c>
    </row>
    <row r="906" spans="14:14" ht="15.75" customHeight="1" x14ac:dyDescent="0.25">
      <c r="N906" t="s">
        <v>610</v>
      </c>
    </row>
    <row r="907" spans="14:14" ht="15.75" customHeight="1" x14ac:dyDescent="0.25">
      <c r="N907" t="s">
        <v>610</v>
      </c>
    </row>
    <row r="908" spans="14:14" ht="15.75" customHeight="1" x14ac:dyDescent="0.25">
      <c r="N908" t="s">
        <v>610</v>
      </c>
    </row>
    <row r="909" spans="14:14" ht="15.75" customHeight="1" x14ac:dyDescent="0.25">
      <c r="N909" t="s">
        <v>610</v>
      </c>
    </row>
    <row r="910" spans="14:14" ht="15.75" customHeight="1" x14ac:dyDescent="0.25">
      <c r="N910" t="s">
        <v>610</v>
      </c>
    </row>
    <row r="911" spans="14:14" ht="15.75" customHeight="1" x14ac:dyDescent="0.25">
      <c r="N911" t="s">
        <v>610</v>
      </c>
    </row>
    <row r="912" spans="14:14" ht="15.75" customHeight="1" x14ac:dyDescent="0.25">
      <c r="N912" t="s">
        <v>610</v>
      </c>
    </row>
    <row r="913" spans="14:14" ht="15.75" customHeight="1" x14ac:dyDescent="0.25">
      <c r="N913" t="s">
        <v>610</v>
      </c>
    </row>
    <row r="914" spans="14:14" ht="15.75" customHeight="1" x14ac:dyDescent="0.25">
      <c r="N914" t="s">
        <v>610</v>
      </c>
    </row>
    <row r="915" spans="14:14" ht="15.75" customHeight="1" x14ac:dyDescent="0.25">
      <c r="N915" t="s">
        <v>610</v>
      </c>
    </row>
    <row r="916" spans="14:14" ht="15.75" customHeight="1" x14ac:dyDescent="0.25">
      <c r="N916" t="s">
        <v>610</v>
      </c>
    </row>
    <row r="917" spans="14:14" ht="15.75" customHeight="1" x14ac:dyDescent="0.25">
      <c r="N917" t="s">
        <v>610</v>
      </c>
    </row>
    <row r="918" spans="14:14" ht="15.75" customHeight="1" x14ac:dyDescent="0.25">
      <c r="N918" t="s">
        <v>610</v>
      </c>
    </row>
    <row r="919" spans="14:14" ht="15.75" customHeight="1" x14ac:dyDescent="0.25">
      <c r="N919" t="s">
        <v>610</v>
      </c>
    </row>
    <row r="920" spans="14:14" ht="15.75" customHeight="1" x14ac:dyDescent="0.25">
      <c r="N920" t="s">
        <v>610</v>
      </c>
    </row>
    <row r="921" spans="14:14" ht="15.75" customHeight="1" x14ac:dyDescent="0.25">
      <c r="N921" t="s">
        <v>610</v>
      </c>
    </row>
    <row r="922" spans="14:14" ht="15.75" customHeight="1" x14ac:dyDescent="0.25">
      <c r="N922" t="s">
        <v>610</v>
      </c>
    </row>
    <row r="923" spans="14:14" ht="15.75" customHeight="1" x14ac:dyDescent="0.25">
      <c r="N923" t="s">
        <v>610</v>
      </c>
    </row>
    <row r="924" spans="14:14" ht="15.75" customHeight="1" x14ac:dyDescent="0.25">
      <c r="N924" t="s">
        <v>610</v>
      </c>
    </row>
    <row r="925" spans="14:14" ht="15.75" customHeight="1" x14ac:dyDescent="0.25">
      <c r="N925" t="s">
        <v>610</v>
      </c>
    </row>
    <row r="926" spans="14:14" ht="15.75" customHeight="1" x14ac:dyDescent="0.25">
      <c r="N926" t="s">
        <v>610</v>
      </c>
    </row>
    <row r="927" spans="14:14" ht="15.75" customHeight="1" x14ac:dyDescent="0.25">
      <c r="N927" t="s">
        <v>610</v>
      </c>
    </row>
    <row r="928" spans="14:14" ht="15.75" customHeight="1" x14ac:dyDescent="0.25">
      <c r="N928" t="s">
        <v>610</v>
      </c>
    </row>
    <row r="929" spans="14:14" ht="15.75" customHeight="1" x14ac:dyDescent="0.25">
      <c r="N929" t="s">
        <v>610</v>
      </c>
    </row>
    <row r="930" spans="14:14" ht="15.75" customHeight="1" x14ac:dyDescent="0.25">
      <c r="N930" t="s">
        <v>610</v>
      </c>
    </row>
    <row r="931" spans="14:14" ht="15.75" customHeight="1" x14ac:dyDescent="0.25">
      <c r="N931" t="s">
        <v>610</v>
      </c>
    </row>
    <row r="932" spans="14:14" ht="15.75" customHeight="1" x14ac:dyDescent="0.25">
      <c r="N932" t="s">
        <v>610</v>
      </c>
    </row>
    <row r="933" spans="14:14" ht="15.75" customHeight="1" x14ac:dyDescent="0.25">
      <c r="N933" t="s">
        <v>610</v>
      </c>
    </row>
    <row r="934" spans="14:14" ht="15.75" customHeight="1" x14ac:dyDescent="0.25">
      <c r="N934" t="s">
        <v>610</v>
      </c>
    </row>
    <row r="935" spans="14:14" ht="15.75" customHeight="1" x14ac:dyDescent="0.25">
      <c r="N935" t="s">
        <v>610</v>
      </c>
    </row>
    <row r="936" spans="14:14" ht="15.75" customHeight="1" x14ac:dyDescent="0.25">
      <c r="N936" t="s">
        <v>610</v>
      </c>
    </row>
    <row r="937" spans="14:14" ht="15.75" customHeight="1" x14ac:dyDescent="0.25">
      <c r="N937" t="s">
        <v>610</v>
      </c>
    </row>
    <row r="938" spans="14:14" ht="15.75" customHeight="1" x14ac:dyDescent="0.25">
      <c r="N938" t="s">
        <v>610</v>
      </c>
    </row>
    <row r="939" spans="14:14" ht="15.75" customHeight="1" x14ac:dyDescent="0.25">
      <c r="N939" t="s">
        <v>610</v>
      </c>
    </row>
    <row r="940" spans="14:14" ht="15.75" customHeight="1" x14ac:dyDescent="0.25">
      <c r="N940" t="s">
        <v>610</v>
      </c>
    </row>
    <row r="941" spans="14:14" ht="15.75" customHeight="1" x14ac:dyDescent="0.25">
      <c r="N941" t="s">
        <v>610</v>
      </c>
    </row>
    <row r="942" spans="14:14" ht="15.75" customHeight="1" x14ac:dyDescent="0.25">
      <c r="N942" t="s">
        <v>610</v>
      </c>
    </row>
    <row r="943" spans="14:14" ht="15.75" customHeight="1" x14ac:dyDescent="0.25">
      <c r="N943" t="s">
        <v>610</v>
      </c>
    </row>
    <row r="944" spans="14:14" ht="15.75" customHeight="1" x14ac:dyDescent="0.25">
      <c r="N944" t="s">
        <v>610</v>
      </c>
    </row>
    <row r="945" spans="14:14" ht="15.75" customHeight="1" x14ac:dyDescent="0.25">
      <c r="N945" t="s">
        <v>610</v>
      </c>
    </row>
    <row r="946" spans="14:14" ht="15.75" customHeight="1" x14ac:dyDescent="0.25">
      <c r="N946" t="s">
        <v>610</v>
      </c>
    </row>
    <row r="947" spans="14:14" ht="15.75" customHeight="1" x14ac:dyDescent="0.25">
      <c r="N947" t="s">
        <v>610</v>
      </c>
    </row>
    <row r="948" spans="14:14" ht="15.75" customHeight="1" x14ac:dyDescent="0.25">
      <c r="N948" t="s">
        <v>610</v>
      </c>
    </row>
    <row r="949" spans="14:14" ht="15.75" customHeight="1" x14ac:dyDescent="0.25">
      <c r="N949" t="s">
        <v>610</v>
      </c>
    </row>
    <row r="950" spans="14:14" ht="15.75" customHeight="1" x14ac:dyDescent="0.25">
      <c r="N950" t="s">
        <v>610</v>
      </c>
    </row>
    <row r="951" spans="14:14" ht="15.75" customHeight="1" x14ac:dyDescent="0.25">
      <c r="N951" t="s">
        <v>610</v>
      </c>
    </row>
    <row r="952" spans="14:14" ht="15.75" customHeight="1" x14ac:dyDescent="0.25">
      <c r="N952" t="s">
        <v>610</v>
      </c>
    </row>
    <row r="953" spans="14:14" ht="15.75" customHeight="1" x14ac:dyDescent="0.25">
      <c r="N953" t="s">
        <v>610</v>
      </c>
    </row>
    <row r="954" spans="14:14" ht="15.75" customHeight="1" x14ac:dyDescent="0.25">
      <c r="N954" t="s">
        <v>610</v>
      </c>
    </row>
    <row r="955" spans="14:14" ht="15.75" customHeight="1" x14ac:dyDescent="0.25">
      <c r="N955" t="s">
        <v>610</v>
      </c>
    </row>
    <row r="956" spans="14:14" ht="15.75" customHeight="1" x14ac:dyDescent="0.25">
      <c r="N956" t="s">
        <v>610</v>
      </c>
    </row>
    <row r="957" spans="14:14" ht="15.75" customHeight="1" x14ac:dyDescent="0.25">
      <c r="N957" t="s">
        <v>610</v>
      </c>
    </row>
    <row r="958" spans="14:14" ht="15.75" customHeight="1" x14ac:dyDescent="0.25">
      <c r="N958" t="s">
        <v>610</v>
      </c>
    </row>
    <row r="959" spans="14:14" ht="15.75" customHeight="1" x14ac:dyDescent="0.25">
      <c r="N959" t="s">
        <v>610</v>
      </c>
    </row>
    <row r="960" spans="14:14" ht="15.75" customHeight="1" x14ac:dyDescent="0.25">
      <c r="N960" t="s">
        <v>610</v>
      </c>
    </row>
    <row r="961" spans="14:14" ht="15.75" customHeight="1" x14ac:dyDescent="0.25">
      <c r="N961" t="s">
        <v>610</v>
      </c>
    </row>
    <row r="962" spans="14:14" ht="15.75" customHeight="1" x14ac:dyDescent="0.25">
      <c r="N962" t="s">
        <v>610</v>
      </c>
    </row>
    <row r="963" spans="14:14" ht="15.75" customHeight="1" x14ac:dyDescent="0.25">
      <c r="N963" t="s">
        <v>610</v>
      </c>
    </row>
    <row r="964" spans="14:14" ht="15.75" customHeight="1" x14ac:dyDescent="0.25">
      <c r="N964" t="s">
        <v>610</v>
      </c>
    </row>
    <row r="965" spans="14:14" ht="15.75" customHeight="1" x14ac:dyDescent="0.25">
      <c r="N965" t="s">
        <v>610</v>
      </c>
    </row>
    <row r="966" spans="14:14" ht="15.75" customHeight="1" x14ac:dyDescent="0.25">
      <c r="N966" t="s">
        <v>610</v>
      </c>
    </row>
    <row r="967" spans="14:14" ht="15.75" customHeight="1" x14ac:dyDescent="0.25">
      <c r="N967" t="s">
        <v>610</v>
      </c>
    </row>
    <row r="968" spans="14:14" ht="15.75" customHeight="1" x14ac:dyDescent="0.25">
      <c r="N968" t="s">
        <v>610</v>
      </c>
    </row>
    <row r="969" spans="14:14" ht="15.75" customHeight="1" x14ac:dyDescent="0.25">
      <c r="N969" t="s">
        <v>610</v>
      </c>
    </row>
    <row r="970" spans="14:14" ht="15.75" customHeight="1" x14ac:dyDescent="0.25">
      <c r="N970" t="s">
        <v>610</v>
      </c>
    </row>
    <row r="971" spans="14:14" ht="15.75" customHeight="1" x14ac:dyDescent="0.25">
      <c r="N971" t="s">
        <v>610</v>
      </c>
    </row>
    <row r="972" spans="14:14" ht="15.75" customHeight="1" x14ac:dyDescent="0.25">
      <c r="N972" t="s">
        <v>610</v>
      </c>
    </row>
    <row r="973" spans="14:14" ht="15.75" customHeight="1" x14ac:dyDescent="0.25">
      <c r="N973" t="s">
        <v>610</v>
      </c>
    </row>
    <row r="974" spans="14:14" ht="15.75" customHeight="1" x14ac:dyDescent="0.25">
      <c r="N974" t="s">
        <v>610</v>
      </c>
    </row>
    <row r="975" spans="14:14" ht="15.75" customHeight="1" x14ac:dyDescent="0.25">
      <c r="N975" t="s">
        <v>610</v>
      </c>
    </row>
    <row r="976" spans="14:14" ht="15.75" customHeight="1" x14ac:dyDescent="0.25">
      <c r="N976" t="s">
        <v>610</v>
      </c>
    </row>
    <row r="977" spans="14:14" ht="15.75" customHeight="1" x14ac:dyDescent="0.25">
      <c r="N977" t="s">
        <v>610</v>
      </c>
    </row>
    <row r="978" spans="14:14" ht="15.75" customHeight="1" x14ac:dyDescent="0.25">
      <c r="N978" t="s">
        <v>610</v>
      </c>
    </row>
    <row r="979" spans="14:14" ht="15.75" customHeight="1" x14ac:dyDescent="0.25">
      <c r="N979" t="s">
        <v>610</v>
      </c>
    </row>
    <row r="980" spans="14:14" ht="15.75" customHeight="1" x14ac:dyDescent="0.25">
      <c r="N980" t="s">
        <v>610</v>
      </c>
    </row>
    <row r="981" spans="14:14" ht="15.75" customHeight="1" x14ac:dyDescent="0.25">
      <c r="N981" t="s">
        <v>610</v>
      </c>
    </row>
    <row r="982" spans="14:14" ht="15.75" customHeight="1" x14ac:dyDescent="0.25">
      <c r="N982" t="s">
        <v>610</v>
      </c>
    </row>
    <row r="983" spans="14:14" ht="15.75" customHeight="1" x14ac:dyDescent="0.25">
      <c r="N983" t="s">
        <v>610</v>
      </c>
    </row>
    <row r="984" spans="14:14" ht="15.75" customHeight="1" x14ac:dyDescent="0.25">
      <c r="N984" t="s">
        <v>610</v>
      </c>
    </row>
    <row r="985" spans="14:14" ht="15.75" customHeight="1" x14ac:dyDescent="0.25">
      <c r="N985" t="s">
        <v>610</v>
      </c>
    </row>
    <row r="986" spans="14:14" ht="15.75" customHeight="1" x14ac:dyDescent="0.25">
      <c r="N986" t="s">
        <v>610</v>
      </c>
    </row>
    <row r="987" spans="14:14" ht="15.75" customHeight="1" x14ac:dyDescent="0.25">
      <c r="N987" t="s">
        <v>610</v>
      </c>
    </row>
    <row r="988" spans="14:14" ht="15.75" customHeight="1" x14ac:dyDescent="0.25">
      <c r="N988" t="s">
        <v>610</v>
      </c>
    </row>
    <row r="989" spans="14:14" ht="15.75" customHeight="1" x14ac:dyDescent="0.25">
      <c r="N989" t="s">
        <v>610</v>
      </c>
    </row>
    <row r="990" spans="14:14" ht="15.75" customHeight="1" x14ac:dyDescent="0.25">
      <c r="N990" t="s">
        <v>610</v>
      </c>
    </row>
    <row r="991" spans="14:14" ht="15.75" customHeight="1" x14ac:dyDescent="0.25">
      <c r="N991" t="s">
        <v>610</v>
      </c>
    </row>
    <row r="992" spans="14:14" ht="15.75" customHeight="1" x14ac:dyDescent="0.25">
      <c r="N992" t="s">
        <v>610</v>
      </c>
    </row>
    <row r="993" spans="14:14" ht="15.75" customHeight="1" x14ac:dyDescent="0.25">
      <c r="N993" t="s">
        <v>610</v>
      </c>
    </row>
    <row r="994" spans="14:14" ht="15.75" customHeight="1" x14ac:dyDescent="0.25">
      <c r="N994" t="s">
        <v>610</v>
      </c>
    </row>
    <row r="995" spans="14:14" ht="15.75" customHeight="1" x14ac:dyDescent="0.25">
      <c r="N995" t="s">
        <v>610</v>
      </c>
    </row>
    <row r="996" spans="14:14" ht="15.75" customHeight="1" x14ac:dyDescent="0.25">
      <c r="N996" t="s">
        <v>610</v>
      </c>
    </row>
    <row r="997" spans="14:14" ht="15.75" customHeight="1" x14ac:dyDescent="0.25">
      <c r="N997" t="s">
        <v>610</v>
      </c>
    </row>
    <row r="998" spans="14:14" ht="15.75" customHeight="1" x14ac:dyDescent="0.25">
      <c r="N998" t="s">
        <v>610</v>
      </c>
    </row>
    <row r="999" spans="14:14" ht="15.75" customHeight="1" x14ac:dyDescent="0.25">
      <c r="N999" t="s">
        <v>610</v>
      </c>
    </row>
    <row r="1000" spans="14:14" ht="15.75" customHeight="1" x14ac:dyDescent="0.25">
      <c r="N1000" t="s">
        <v>610</v>
      </c>
    </row>
    <row r="1001" spans="14:14" ht="15" customHeight="1" x14ac:dyDescent="0.25">
      <c r="N1001" t="s">
        <v>610</v>
      </c>
    </row>
  </sheetData>
  <sortState xmlns:xlrd2="http://schemas.microsoft.com/office/spreadsheetml/2017/richdata2" ref="A2:L1002">
    <sortCondition descending="1" ref="J1:J1002"/>
  </sortState>
  <conditionalFormatting sqref="J1:J1048576">
    <cfRule type="dataBar" priority="3">
      <dataBar>
        <cfvo type="min"/>
        <cfvo type="max"/>
        <color rgb="FFFFB628"/>
      </dataBar>
      <extLst>
        <ext xmlns:x14="http://schemas.microsoft.com/office/spreadsheetml/2009/9/main" uri="{B025F937-C7B1-47D3-B67F-A62EFF666E3E}">
          <x14:id>{7E8726AE-873F-4648-AF88-823A4F0D912B}</x14:id>
        </ext>
      </extLst>
    </cfRule>
  </conditionalFormatting>
  <conditionalFormatting sqref="N1:N1048576">
    <cfRule type="top10" dxfId="165" priority="1" rank="10"/>
    <cfRule type="top10" dxfId="164" priority="2" rank="5"/>
  </conditionalFormatting>
  <pageMargins left="0.75" right="0.75" top="1" bottom="1"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E8726AE-873F-4648-AF88-823A4F0D912B}">
            <x14:dataBar minLength="0" maxLength="100" border="1" negativeBarBorderColorSameAsPositive="0">
              <x14:cfvo type="autoMin"/>
              <x14:cfvo type="autoMax"/>
              <x14:borderColor rgb="FFFFB628"/>
              <x14:negativeFillColor rgb="FFFF0000"/>
              <x14:negativeBorderColor rgb="FFFF0000"/>
              <x14:axisColor rgb="FF000000"/>
            </x14:dataBar>
          </x14:cfRule>
          <xm:sqref>J1:J1048576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B1" zoomScaleNormal="100" workbookViewId="0">
      <selection activeCell="C23" sqref="C23"/>
    </sheetView>
  </sheetViews>
  <sheetFormatPr defaultColWidth="14.42578125" defaultRowHeight="15" customHeight="1" x14ac:dyDescent="0.25"/>
  <cols>
    <col min="1" max="1" width="26.85546875" style="5" customWidth="1"/>
    <col min="2" max="2" width="18.42578125" customWidth="1"/>
    <col min="3" max="3" width="16" customWidth="1"/>
    <col min="4" max="4" width="15.7109375" customWidth="1"/>
    <col min="5" max="5" width="20.7109375" customWidth="1"/>
    <col min="6" max="6" width="20.85546875" customWidth="1"/>
    <col min="7" max="7" width="11.85546875" customWidth="1"/>
    <col min="8" max="8" width="15" style="47" customWidth="1"/>
    <col min="9" max="9" width="20.140625" customWidth="1"/>
    <col min="10" max="10" width="20.42578125" customWidth="1"/>
    <col min="11" max="26" width="8.7109375" customWidth="1"/>
  </cols>
  <sheetData>
    <row r="1" spans="1:10" x14ac:dyDescent="0.25">
      <c r="A1" s="3" t="s">
        <v>566</v>
      </c>
      <c r="B1" s="1" t="s">
        <v>1</v>
      </c>
      <c r="C1" s="1" t="s">
        <v>567</v>
      </c>
      <c r="D1" s="1" t="s">
        <v>568</v>
      </c>
      <c r="E1" s="1" t="s">
        <v>569</v>
      </c>
      <c r="F1" s="1" t="s">
        <v>570</v>
      </c>
      <c r="G1" s="83" t="s">
        <v>571</v>
      </c>
      <c r="H1" s="46" t="s">
        <v>632</v>
      </c>
      <c r="I1" s="116" t="s">
        <v>661</v>
      </c>
      <c r="J1" s="116" t="s">
        <v>696</v>
      </c>
    </row>
    <row r="2" spans="1:10" x14ac:dyDescent="0.25">
      <c r="A2" s="4">
        <v>45656</v>
      </c>
      <c r="B2" s="2" t="s">
        <v>42</v>
      </c>
      <c r="C2" s="2">
        <v>1980</v>
      </c>
      <c r="D2" s="2">
        <v>204</v>
      </c>
      <c r="E2" s="2">
        <v>379431</v>
      </c>
      <c r="F2" s="2">
        <v>3.09</v>
      </c>
      <c r="G2" s="2">
        <v>25140</v>
      </c>
      <c r="H2" s="47">
        <f t="shared" ref="H2:H33" si="0">(C2-D2)/E2</f>
        <v>4.6806929323118035E-3</v>
      </c>
      <c r="I2">
        <f t="shared" ref="I2:I33" si="1">E2*(F2/100)</f>
        <v>11724.417899999999</v>
      </c>
      <c r="J2" t="str">
        <f>_xlfn.XLOOKUP(A2, 'Campaign Metadata'!$B$2:$B$5, 'Campaign Metadata'!$A$2:$A$5, "No Campaign", -1)</f>
        <v>FSDUpdate</v>
      </c>
    </row>
    <row r="3" spans="1:10" x14ac:dyDescent="0.25">
      <c r="A3" s="4">
        <v>45488</v>
      </c>
      <c r="B3" s="2" t="s">
        <v>32</v>
      </c>
      <c r="C3" s="2">
        <v>1960</v>
      </c>
      <c r="D3" s="2">
        <v>115</v>
      </c>
      <c r="E3" s="2">
        <v>154169</v>
      </c>
      <c r="F3" s="2">
        <v>3.74</v>
      </c>
      <c r="G3" s="2">
        <v>10740</v>
      </c>
      <c r="H3" s="47">
        <f t="shared" si="0"/>
        <v>1.1967386439556591E-2</v>
      </c>
      <c r="I3">
        <f t="shared" si="1"/>
        <v>5765.9206000000004</v>
      </c>
      <c r="J3" t="str">
        <f>_xlfn.XLOOKUP(A3, 'Campaign Metadata'!$B$2:$B$5, 'Campaign Metadata'!$A$2:$A$5, "No Campaign", -1)</f>
        <v>CybertruckLaunch</v>
      </c>
    </row>
    <row r="4" spans="1:10" x14ac:dyDescent="0.25">
      <c r="A4" s="4">
        <v>45698</v>
      </c>
      <c r="B4" s="2" t="s">
        <v>32</v>
      </c>
      <c r="C4" s="2">
        <v>1957</v>
      </c>
      <c r="D4" s="2">
        <v>234</v>
      </c>
      <c r="E4" s="2">
        <v>222126</v>
      </c>
      <c r="F4" s="2">
        <v>4.6100000000000003</v>
      </c>
      <c r="G4" s="2">
        <v>3314</v>
      </c>
      <c r="H4" s="47">
        <f t="shared" si="0"/>
        <v>7.7568587198256845E-3</v>
      </c>
      <c r="I4">
        <f t="shared" si="1"/>
        <v>10240.008600000001</v>
      </c>
      <c r="J4" t="str">
        <f>_xlfn.XLOOKUP(A4, 'Campaign Metadata'!$B$2:$B$5, 'Campaign Metadata'!$A$2:$A$5, "No Campaign", -1)</f>
        <v>FSDUpdate</v>
      </c>
    </row>
    <row r="5" spans="1:10" x14ac:dyDescent="0.25">
      <c r="A5" s="4">
        <v>45747</v>
      </c>
      <c r="B5" s="2" t="s">
        <v>26</v>
      </c>
      <c r="C5" s="2">
        <v>1957</v>
      </c>
      <c r="D5" s="2">
        <v>490</v>
      </c>
      <c r="E5" s="2">
        <v>435726</v>
      </c>
      <c r="F5" s="2">
        <v>4.7300000000000004</v>
      </c>
      <c r="G5" s="2">
        <v>15969</v>
      </c>
      <c r="H5" s="47">
        <f t="shared" si="0"/>
        <v>3.3667947287974553E-3</v>
      </c>
      <c r="I5">
        <f t="shared" si="1"/>
        <v>20609.839800000002</v>
      </c>
      <c r="J5" t="str">
        <f>_xlfn.XLOOKUP(A5, 'Campaign Metadata'!$B$2:$B$5, 'Campaign Metadata'!$A$2:$A$5, "No Campaign", -1)</f>
        <v>SustainabilityDrive</v>
      </c>
    </row>
    <row r="6" spans="1:10" x14ac:dyDescent="0.25">
      <c r="A6" s="4">
        <v>45782</v>
      </c>
      <c r="B6" s="2" t="s">
        <v>32</v>
      </c>
      <c r="C6" s="2">
        <v>1957</v>
      </c>
      <c r="D6" s="2">
        <v>76</v>
      </c>
      <c r="E6" s="2">
        <v>447902</v>
      </c>
      <c r="F6" s="2">
        <v>6.09</v>
      </c>
      <c r="G6" s="2">
        <v>33381</v>
      </c>
      <c r="H6" s="47">
        <f t="shared" si="0"/>
        <v>4.1995793722733989E-3</v>
      </c>
      <c r="I6">
        <f t="shared" si="1"/>
        <v>27277.231799999998</v>
      </c>
      <c r="J6" t="str">
        <f>_xlfn.XLOOKUP(A6, 'Campaign Metadata'!$B$2:$B$5, 'Campaign Metadata'!$A$2:$A$5, "No Campaign", -1)</f>
        <v>SustainabilityDrive</v>
      </c>
    </row>
    <row r="7" spans="1:10" x14ac:dyDescent="0.25">
      <c r="A7" s="4">
        <v>45747</v>
      </c>
      <c r="B7" s="2" t="s">
        <v>13</v>
      </c>
      <c r="C7" s="2">
        <v>1946</v>
      </c>
      <c r="D7" s="2">
        <v>270</v>
      </c>
      <c r="E7" s="2">
        <v>198350</v>
      </c>
      <c r="F7" s="2">
        <v>7.5</v>
      </c>
      <c r="G7" s="2">
        <v>11805</v>
      </c>
      <c r="H7" s="47">
        <f t="shared" si="0"/>
        <v>8.4497101083942528E-3</v>
      </c>
      <c r="I7">
        <f t="shared" si="1"/>
        <v>14876.25</v>
      </c>
      <c r="J7" t="str">
        <f>_xlfn.XLOOKUP(A7, 'Campaign Metadata'!$B$2:$B$5, 'Campaign Metadata'!$A$2:$A$5, "No Campaign", -1)</f>
        <v>SustainabilityDrive</v>
      </c>
    </row>
    <row r="8" spans="1:10" x14ac:dyDescent="0.25">
      <c r="A8" s="4">
        <v>45572</v>
      </c>
      <c r="B8" s="2" t="s">
        <v>32</v>
      </c>
      <c r="C8" s="2">
        <v>1939</v>
      </c>
      <c r="D8" s="2">
        <v>67</v>
      </c>
      <c r="E8" s="2">
        <v>187183</v>
      </c>
      <c r="F8" s="2">
        <v>6.25</v>
      </c>
      <c r="G8" s="2">
        <v>41215</v>
      </c>
      <c r="H8" s="47">
        <f t="shared" si="0"/>
        <v>1.0000908202133741E-2</v>
      </c>
      <c r="I8">
        <f t="shared" si="1"/>
        <v>11698.9375</v>
      </c>
      <c r="J8" t="str">
        <f>_xlfn.XLOOKUP(A8, 'Campaign Metadata'!$B$2:$B$5, 'Campaign Metadata'!$A$2:$A$5, "No Campaign", -1)</f>
        <v>ModelYCampaign</v>
      </c>
    </row>
    <row r="9" spans="1:10" x14ac:dyDescent="0.25">
      <c r="A9" s="4">
        <v>45635</v>
      </c>
      <c r="B9" s="2" t="s">
        <v>13</v>
      </c>
      <c r="C9" s="2">
        <v>1937</v>
      </c>
      <c r="D9" s="2">
        <v>210</v>
      </c>
      <c r="E9" s="2">
        <v>20607</v>
      </c>
      <c r="F9" s="2">
        <v>4.2</v>
      </c>
      <c r="G9" s="2">
        <v>20861</v>
      </c>
      <c r="H9" s="47">
        <f t="shared" si="0"/>
        <v>8.3806473528412681E-2</v>
      </c>
      <c r="I9">
        <f t="shared" si="1"/>
        <v>865.49400000000003</v>
      </c>
      <c r="J9" t="str">
        <f>_xlfn.XLOOKUP(A9, 'Campaign Metadata'!$B$2:$B$5, 'Campaign Metadata'!$A$2:$A$5, "No Campaign", -1)</f>
        <v>ModelYCampaign</v>
      </c>
    </row>
    <row r="10" spans="1:10" x14ac:dyDescent="0.25">
      <c r="A10" s="4">
        <v>45572</v>
      </c>
      <c r="B10" s="2" t="s">
        <v>42</v>
      </c>
      <c r="C10" s="2">
        <v>1929</v>
      </c>
      <c r="D10" s="2">
        <v>267</v>
      </c>
      <c r="E10" s="2">
        <v>379363</v>
      </c>
      <c r="F10" s="2">
        <v>1.75</v>
      </c>
      <c r="G10" s="2">
        <v>43836</v>
      </c>
      <c r="H10" s="47">
        <f t="shared" si="0"/>
        <v>4.3810281972675247E-3</v>
      </c>
      <c r="I10">
        <f t="shared" si="1"/>
        <v>6638.8525000000009</v>
      </c>
      <c r="J10" t="str">
        <f>_xlfn.XLOOKUP(A10, 'Campaign Metadata'!$B$2:$B$5, 'Campaign Metadata'!$A$2:$A$5, "No Campaign", -1)</f>
        <v>ModelYCampaign</v>
      </c>
    </row>
    <row r="11" spans="1:10" x14ac:dyDescent="0.25">
      <c r="A11" s="4">
        <v>45565</v>
      </c>
      <c r="B11" s="2" t="s">
        <v>26</v>
      </c>
      <c r="C11" s="2">
        <v>1918</v>
      </c>
      <c r="D11" s="2">
        <v>212</v>
      </c>
      <c r="E11" s="2">
        <v>94360</v>
      </c>
      <c r="F11" s="2">
        <v>7.36</v>
      </c>
      <c r="G11" s="2">
        <v>36851</v>
      </c>
      <c r="H11" s="47">
        <f t="shared" si="0"/>
        <v>1.8079694785926241E-2</v>
      </c>
      <c r="I11">
        <f t="shared" si="1"/>
        <v>6944.8959999999997</v>
      </c>
      <c r="J11" t="str">
        <f>_xlfn.XLOOKUP(A11, 'Campaign Metadata'!$B$2:$B$5, 'Campaign Metadata'!$A$2:$A$5, "No Campaign", -1)</f>
        <v>CybertruckLaunch</v>
      </c>
    </row>
    <row r="12" spans="1:10" x14ac:dyDescent="0.25">
      <c r="A12" s="4">
        <v>45558</v>
      </c>
      <c r="B12" s="2" t="s">
        <v>13</v>
      </c>
      <c r="C12" s="2">
        <v>1911</v>
      </c>
      <c r="D12" s="2">
        <v>231</v>
      </c>
      <c r="E12" s="2">
        <v>268516</v>
      </c>
      <c r="F12" s="2">
        <v>8.5500000000000007</v>
      </c>
      <c r="G12" s="2">
        <v>24018</v>
      </c>
      <c r="H12" s="47">
        <f t="shared" si="0"/>
        <v>6.2566104068286429E-3</v>
      </c>
      <c r="I12">
        <f t="shared" si="1"/>
        <v>22958.118000000002</v>
      </c>
      <c r="J12" t="str">
        <f>_xlfn.XLOOKUP(A12, 'Campaign Metadata'!$B$2:$B$5, 'Campaign Metadata'!$A$2:$A$5, "No Campaign", -1)</f>
        <v>CybertruckLaunch</v>
      </c>
    </row>
    <row r="13" spans="1:10" x14ac:dyDescent="0.25">
      <c r="A13" s="4">
        <v>45628</v>
      </c>
      <c r="B13" s="2" t="s">
        <v>42</v>
      </c>
      <c r="C13" s="2">
        <v>1902</v>
      </c>
      <c r="D13" s="2">
        <v>196</v>
      </c>
      <c r="E13" s="2">
        <v>470269</v>
      </c>
      <c r="F13" s="2">
        <v>4.79</v>
      </c>
      <c r="G13" s="2">
        <v>26103</v>
      </c>
      <c r="H13" s="47">
        <f t="shared" si="0"/>
        <v>3.6277109484146308E-3</v>
      </c>
      <c r="I13">
        <f t="shared" si="1"/>
        <v>22525.8851</v>
      </c>
      <c r="J13" t="str">
        <f>_xlfn.XLOOKUP(A13, 'Campaign Metadata'!$B$2:$B$5, 'Campaign Metadata'!$A$2:$A$5, "No Campaign", -1)</f>
        <v>ModelYCampaign</v>
      </c>
    </row>
    <row r="14" spans="1:10" x14ac:dyDescent="0.25">
      <c r="A14" s="4">
        <v>45649</v>
      </c>
      <c r="B14" s="2" t="s">
        <v>26</v>
      </c>
      <c r="C14" s="2">
        <v>1900</v>
      </c>
      <c r="D14" s="2">
        <v>311</v>
      </c>
      <c r="E14" s="2">
        <v>25177</v>
      </c>
      <c r="F14" s="2">
        <v>2.89</v>
      </c>
      <c r="G14" s="2">
        <v>14154</v>
      </c>
      <c r="H14" s="47">
        <f t="shared" si="0"/>
        <v>6.3113158835445049E-2</v>
      </c>
      <c r="I14">
        <f t="shared" si="1"/>
        <v>727.61530000000005</v>
      </c>
      <c r="J14" t="str">
        <f>_xlfn.XLOOKUP(A14, 'Campaign Metadata'!$B$2:$B$5, 'Campaign Metadata'!$A$2:$A$5, "No Campaign", -1)</f>
        <v>ModelYCampaign</v>
      </c>
    </row>
    <row r="15" spans="1:10" x14ac:dyDescent="0.25">
      <c r="A15" s="4">
        <v>45705</v>
      </c>
      <c r="B15" s="2" t="s">
        <v>42</v>
      </c>
      <c r="C15" s="2">
        <v>1895</v>
      </c>
      <c r="D15" s="2">
        <v>305</v>
      </c>
      <c r="E15" s="2">
        <v>104967</v>
      </c>
      <c r="F15" s="2">
        <v>3.85</v>
      </c>
      <c r="G15" s="2">
        <v>31853</v>
      </c>
      <c r="H15" s="47">
        <f t="shared" si="0"/>
        <v>1.5147617822744291E-2</v>
      </c>
      <c r="I15">
        <f t="shared" si="1"/>
        <v>4041.2294999999999</v>
      </c>
      <c r="J15" t="str">
        <f>_xlfn.XLOOKUP(A15, 'Campaign Metadata'!$B$2:$B$5, 'Campaign Metadata'!$A$2:$A$5, "No Campaign", -1)</f>
        <v>FSDUpdate</v>
      </c>
    </row>
    <row r="16" spans="1:10" x14ac:dyDescent="0.25">
      <c r="A16" s="4">
        <v>45712</v>
      </c>
      <c r="B16" s="2" t="s">
        <v>42</v>
      </c>
      <c r="C16" s="2">
        <v>1884</v>
      </c>
      <c r="D16" s="2">
        <v>177</v>
      </c>
      <c r="E16" s="2">
        <v>230448</v>
      </c>
      <c r="F16" s="2">
        <v>7.8</v>
      </c>
      <c r="G16" s="2">
        <v>22713</v>
      </c>
      <c r="H16" s="47">
        <f t="shared" si="0"/>
        <v>7.4073109768798169E-3</v>
      </c>
      <c r="I16">
        <f t="shared" si="1"/>
        <v>17974.944</v>
      </c>
      <c r="J16" t="str">
        <f>_xlfn.XLOOKUP(A16, 'Campaign Metadata'!$B$2:$B$5, 'Campaign Metadata'!$A$2:$A$5, "No Campaign", -1)</f>
        <v>FSDUpdate</v>
      </c>
    </row>
    <row r="17" spans="1:10" x14ac:dyDescent="0.25">
      <c r="A17" s="4">
        <v>45670</v>
      </c>
      <c r="B17" s="2" t="s">
        <v>32</v>
      </c>
      <c r="C17" s="2">
        <v>1855</v>
      </c>
      <c r="D17" s="2">
        <v>133</v>
      </c>
      <c r="E17" s="2">
        <v>349413</v>
      </c>
      <c r="F17" s="2">
        <v>3.3</v>
      </c>
      <c r="G17" s="2">
        <v>14548</v>
      </c>
      <c r="H17" s="47">
        <f t="shared" si="0"/>
        <v>4.9282654051223049E-3</v>
      </c>
      <c r="I17">
        <f t="shared" si="1"/>
        <v>11530.629000000001</v>
      </c>
      <c r="J17" t="str">
        <f>_xlfn.XLOOKUP(A17, 'Campaign Metadata'!$B$2:$B$5, 'Campaign Metadata'!$A$2:$A$5, "No Campaign", -1)</f>
        <v>FSDUpdate</v>
      </c>
    </row>
    <row r="18" spans="1:10" x14ac:dyDescent="0.25">
      <c r="A18" s="4">
        <v>45621</v>
      </c>
      <c r="B18" s="2" t="s">
        <v>32</v>
      </c>
      <c r="C18" s="2">
        <v>1854</v>
      </c>
      <c r="D18" s="2">
        <v>161</v>
      </c>
      <c r="E18" s="2">
        <v>282466</v>
      </c>
      <c r="F18" s="2">
        <v>5.17</v>
      </c>
      <c r="G18" s="2">
        <v>1810</v>
      </c>
      <c r="H18" s="47">
        <f t="shared" si="0"/>
        <v>5.9936417126309005E-3</v>
      </c>
      <c r="I18">
        <f t="shared" si="1"/>
        <v>14603.492199999999</v>
      </c>
      <c r="J18" t="str">
        <f>_xlfn.XLOOKUP(A18, 'Campaign Metadata'!$B$2:$B$5, 'Campaign Metadata'!$A$2:$A$5, "No Campaign", -1)</f>
        <v>ModelYCampaign</v>
      </c>
    </row>
    <row r="19" spans="1:10" x14ac:dyDescent="0.25">
      <c r="A19" s="4">
        <v>45544</v>
      </c>
      <c r="B19" s="2" t="s">
        <v>42</v>
      </c>
      <c r="C19" s="2">
        <v>1842</v>
      </c>
      <c r="D19" s="2">
        <v>414</v>
      </c>
      <c r="E19" s="2">
        <v>307524</v>
      </c>
      <c r="F19" s="2">
        <v>1.76</v>
      </c>
      <c r="G19" s="2">
        <v>40478</v>
      </c>
      <c r="H19" s="47">
        <f t="shared" si="0"/>
        <v>4.6435400163889647E-3</v>
      </c>
      <c r="I19">
        <f t="shared" si="1"/>
        <v>5412.4224000000004</v>
      </c>
      <c r="J19" t="str">
        <f>_xlfn.XLOOKUP(A19, 'Campaign Metadata'!$B$2:$B$5, 'Campaign Metadata'!$A$2:$A$5, "No Campaign", -1)</f>
        <v>CybertruckLaunch</v>
      </c>
    </row>
    <row r="20" spans="1:10" x14ac:dyDescent="0.25">
      <c r="A20" s="4">
        <v>45600</v>
      </c>
      <c r="B20" s="2" t="s">
        <v>13</v>
      </c>
      <c r="C20" s="2">
        <v>1821</v>
      </c>
      <c r="D20" s="2">
        <v>218</v>
      </c>
      <c r="E20" s="2">
        <v>439080</v>
      </c>
      <c r="F20" s="2">
        <v>5.68</v>
      </c>
      <c r="G20" s="2">
        <v>36095</v>
      </c>
      <c r="H20" s="47">
        <f t="shared" si="0"/>
        <v>3.6508153411678964E-3</v>
      </c>
      <c r="I20">
        <f t="shared" si="1"/>
        <v>24939.743999999999</v>
      </c>
      <c r="J20" t="str">
        <f>_xlfn.XLOOKUP(A20, 'Campaign Metadata'!$B$2:$B$5, 'Campaign Metadata'!$A$2:$A$5, "No Campaign", -1)</f>
        <v>ModelYCampaign</v>
      </c>
    </row>
    <row r="21" spans="1:10" ht="15.75" customHeight="1" x14ac:dyDescent="0.25">
      <c r="A21" s="4">
        <v>45593</v>
      </c>
      <c r="B21" s="2" t="s">
        <v>26</v>
      </c>
      <c r="C21" s="2">
        <v>1814</v>
      </c>
      <c r="D21" s="2">
        <v>157</v>
      </c>
      <c r="E21" s="2">
        <v>305827</v>
      </c>
      <c r="F21" s="2">
        <v>1.99</v>
      </c>
      <c r="G21" s="2">
        <v>46643</v>
      </c>
      <c r="H21" s="47">
        <f t="shared" si="0"/>
        <v>5.4180958515762179E-3</v>
      </c>
      <c r="I21">
        <f t="shared" si="1"/>
        <v>6085.9573</v>
      </c>
      <c r="J21" t="str">
        <f>_xlfn.XLOOKUP(A21, 'Campaign Metadata'!$B$2:$B$5, 'Campaign Metadata'!$A$2:$A$5, "No Campaign", -1)</f>
        <v>ModelYCampaign</v>
      </c>
    </row>
    <row r="22" spans="1:10" ht="15.75" customHeight="1" x14ac:dyDescent="0.25">
      <c r="A22" s="4">
        <v>45656</v>
      </c>
      <c r="B22" s="2" t="s">
        <v>32</v>
      </c>
      <c r="C22" s="2">
        <v>1814</v>
      </c>
      <c r="D22" s="2">
        <v>49</v>
      </c>
      <c r="E22" s="2">
        <v>140804</v>
      </c>
      <c r="F22" s="2">
        <v>1.76</v>
      </c>
      <c r="G22" s="2">
        <v>4313</v>
      </c>
      <c r="H22" s="47">
        <f t="shared" si="0"/>
        <v>1.253515525127127E-2</v>
      </c>
      <c r="I22">
        <f t="shared" si="1"/>
        <v>2478.1504</v>
      </c>
      <c r="J22" t="str">
        <f>_xlfn.XLOOKUP(A22, 'Campaign Metadata'!$B$2:$B$5, 'Campaign Metadata'!$A$2:$A$5, "No Campaign", -1)</f>
        <v>FSDUpdate</v>
      </c>
    </row>
    <row r="23" spans="1:10" ht="15.75" customHeight="1" x14ac:dyDescent="0.25">
      <c r="A23" s="4">
        <v>45656</v>
      </c>
      <c r="B23" s="2" t="s">
        <v>13</v>
      </c>
      <c r="C23" s="2">
        <v>1786</v>
      </c>
      <c r="D23" s="2">
        <v>257</v>
      </c>
      <c r="E23" s="2">
        <v>274831</v>
      </c>
      <c r="F23" s="2">
        <v>4.68</v>
      </c>
      <c r="G23" s="2">
        <v>9118</v>
      </c>
      <c r="H23" s="47">
        <f t="shared" si="0"/>
        <v>5.5634189738421064E-3</v>
      </c>
      <c r="I23">
        <f t="shared" si="1"/>
        <v>12862.090799999998</v>
      </c>
      <c r="J23" t="str">
        <f>_xlfn.XLOOKUP(A23, 'Campaign Metadata'!$B$2:$B$5, 'Campaign Metadata'!$A$2:$A$5, "No Campaign", -1)</f>
        <v>FSDUpdate</v>
      </c>
    </row>
    <row r="24" spans="1:10" ht="15.75" customHeight="1" x14ac:dyDescent="0.25">
      <c r="A24" s="4">
        <v>45467</v>
      </c>
      <c r="B24" s="2" t="s">
        <v>42</v>
      </c>
      <c r="C24" s="2">
        <v>1779</v>
      </c>
      <c r="D24" s="2">
        <v>109</v>
      </c>
      <c r="E24" s="2">
        <v>26295</v>
      </c>
      <c r="F24" s="2">
        <v>9.1199999999999992</v>
      </c>
      <c r="G24" s="2">
        <v>30635</v>
      </c>
      <c r="H24" s="47">
        <f t="shared" si="0"/>
        <v>6.3510173036698994E-2</v>
      </c>
      <c r="I24">
        <f t="shared" si="1"/>
        <v>2398.1039999999998</v>
      </c>
      <c r="J24" t="str">
        <f>_xlfn.XLOOKUP(A24, 'Campaign Metadata'!$B$2:$B$5, 'Campaign Metadata'!$A$2:$A$5, "No Campaign", -1)</f>
        <v>CybertruckLaunch</v>
      </c>
    </row>
    <row r="25" spans="1:10" ht="15.75" customHeight="1" x14ac:dyDescent="0.25">
      <c r="A25" s="4">
        <v>45789</v>
      </c>
      <c r="B25" s="2" t="s">
        <v>32</v>
      </c>
      <c r="C25" s="2">
        <v>1765</v>
      </c>
      <c r="D25" s="2">
        <v>109</v>
      </c>
      <c r="E25" s="2">
        <v>468301</v>
      </c>
      <c r="F25" s="2">
        <v>1.82</v>
      </c>
      <c r="G25" s="2">
        <v>20042</v>
      </c>
      <c r="H25" s="47">
        <f t="shared" si="0"/>
        <v>3.5361871958419907E-3</v>
      </c>
      <c r="I25">
        <f t="shared" si="1"/>
        <v>8523.0781999999999</v>
      </c>
      <c r="J25" t="str">
        <f>_xlfn.XLOOKUP(A25, 'Campaign Metadata'!$B$2:$B$5, 'Campaign Metadata'!$A$2:$A$5, "No Campaign", -1)</f>
        <v>SustainabilityDrive</v>
      </c>
    </row>
    <row r="26" spans="1:10" ht="15.75" customHeight="1" x14ac:dyDescent="0.25">
      <c r="A26" s="4">
        <v>45481</v>
      </c>
      <c r="B26" s="2" t="s">
        <v>32</v>
      </c>
      <c r="C26" s="2">
        <v>1757</v>
      </c>
      <c r="D26" s="2">
        <v>85</v>
      </c>
      <c r="E26" s="2">
        <v>58223</v>
      </c>
      <c r="F26" s="2">
        <v>8.74</v>
      </c>
      <c r="G26" s="2">
        <v>22728</v>
      </c>
      <c r="H26" s="47">
        <f t="shared" si="0"/>
        <v>2.8717173625543171E-2</v>
      </c>
      <c r="I26">
        <f t="shared" si="1"/>
        <v>5088.6902</v>
      </c>
      <c r="J26" t="str">
        <f>_xlfn.XLOOKUP(A26, 'Campaign Metadata'!$B$2:$B$5, 'Campaign Metadata'!$A$2:$A$5, "No Campaign", -1)</f>
        <v>CybertruckLaunch</v>
      </c>
    </row>
    <row r="27" spans="1:10" ht="15.75" customHeight="1" x14ac:dyDescent="0.25">
      <c r="A27" s="4">
        <v>45502</v>
      </c>
      <c r="B27" s="2" t="s">
        <v>13</v>
      </c>
      <c r="C27" s="2">
        <v>1756</v>
      </c>
      <c r="D27" s="2">
        <v>261</v>
      </c>
      <c r="E27" s="2">
        <v>287574</v>
      </c>
      <c r="F27" s="2">
        <v>4.3600000000000003</v>
      </c>
      <c r="G27" s="2">
        <v>39272</v>
      </c>
      <c r="H27" s="47">
        <f t="shared" si="0"/>
        <v>5.1986619096302169E-3</v>
      </c>
      <c r="I27">
        <f t="shared" si="1"/>
        <v>12538.2264</v>
      </c>
      <c r="J27" t="str">
        <f>_xlfn.XLOOKUP(A27, 'Campaign Metadata'!$B$2:$B$5, 'Campaign Metadata'!$A$2:$A$5, "No Campaign", -1)</f>
        <v>CybertruckLaunch</v>
      </c>
    </row>
    <row r="28" spans="1:10" ht="15.75" customHeight="1" x14ac:dyDescent="0.25">
      <c r="A28" s="4">
        <v>45460</v>
      </c>
      <c r="B28" s="2" t="s">
        <v>42</v>
      </c>
      <c r="C28" s="2">
        <v>1753</v>
      </c>
      <c r="D28" s="2">
        <v>371</v>
      </c>
      <c r="E28" s="2">
        <v>169496</v>
      </c>
      <c r="F28" s="2">
        <v>8.11</v>
      </c>
      <c r="G28" s="2">
        <v>46670</v>
      </c>
      <c r="H28" s="47">
        <f t="shared" si="0"/>
        <v>8.1535847453627231E-3</v>
      </c>
      <c r="I28">
        <f t="shared" si="1"/>
        <v>13746.125599999999</v>
      </c>
      <c r="J28" t="str">
        <f>_xlfn.XLOOKUP(A28, 'Campaign Metadata'!$B$2:$B$5, 'Campaign Metadata'!$A$2:$A$5, "No Campaign", -1)</f>
        <v>CybertruckLaunch</v>
      </c>
    </row>
    <row r="29" spans="1:10" ht="15.75" customHeight="1" x14ac:dyDescent="0.25">
      <c r="A29" s="4">
        <v>45523</v>
      </c>
      <c r="B29" s="2" t="s">
        <v>13</v>
      </c>
      <c r="C29" s="2">
        <v>1751</v>
      </c>
      <c r="D29" s="2">
        <v>86</v>
      </c>
      <c r="E29" s="2">
        <v>188655</v>
      </c>
      <c r="F29" s="2">
        <v>7.24</v>
      </c>
      <c r="G29" s="2">
        <v>22206</v>
      </c>
      <c r="H29" s="47">
        <f t="shared" si="0"/>
        <v>8.825634093981077E-3</v>
      </c>
      <c r="I29">
        <f t="shared" si="1"/>
        <v>13658.622000000001</v>
      </c>
      <c r="J29" t="str">
        <f>_xlfn.XLOOKUP(A29, 'Campaign Metadata'!$B$2:$B$5, 'Campaign Metadata'!$A$2:$A$5, "No Campaign", -1)</f>
        <v>CybertruckLaunch</v>
      </c>
    </row>
    <row r="30" spans="1:10" ht="15.75" customHeight="1" x14ac:dyDescent="0.25">
      <c r="A30" s="4">
        <v>45677</v>
      </c>
      <c r="B30" s="2" t="s">
        <v>32</v>
      </c>
      <c r="C30" s="2">
        <v>1748</v>
      </c>
      <c r="D30" s="2">
        <v>176</v>
      </c>
      <c r="E30" s="2">
        <v>383681</v>
      </c>
      <c r="F30" s="2">
        <v>9.24</v>
      </c>
      <c r="G30" s="2">
        <v>43122</v>
      </c>
      <c r="H30" s="47">
        <f t="shared" si="0"/>
        <v>4.0971536250166149E-3</v>
      </c>
      <c r="I30">
        <f t="shared" si="1"/>
        <v>35452.124400000001</v>
      </c>
      <c r="J30" t="str">
        <f>_xlfn.XLOOKUP(A30, 'Campaign Metadata'!$B$2:$B$5, 'Campaign Metadata'!$A$2:$A$5, "No Campaign", -1)</f>
        <v>FSDUpdate</v>
      </c>
    </row>
    <row r="31" spans="1:10" ht="15.75" customHeight="1" x14ac:dyDescent="0.25">
      <c r="A31" s="4">
        <v>45621</v>
      </c>
      <c r="B31" s="2" t="s">
        <v>42</v>
      </c>
      <c r="C31" s="2">
        <v>1710</v>
      </c>
      <c r="D31" s="2">
        <v>378</v>
      </c>
      <c r="E31" s="2">
        <v>336661</v>
      </c>
      <c r="F31" s="2">
        <v>6.2</v>
      </c>
      <c r="G31" s="2">
        <v>28498</v>
      </c>
      <c r="H31" s="47">
        <f t="shared" si="0"/>
        <v>3.9565022381564839E-3</v>
      </c>
      <c r="I31">
        <f t="shared" si="1"/>
        <v>20872.982</v>
      </c>
      <c r="J31" t="str">
        <f>_xlfn.XLOOKUP(A31, 'Campaign Metadata'!$B$2:$B$5, 'Campaign Metadata'!$A$2:$A$5, "No Campaign", -1)</f>
        <v>ModelYCampaign</v>
      </c>
    </row>
    <row r="32" spans="1:10" ht="15.75" customHeight="1" x14ac:dyDescent="0.25">
      <c r="A32" s="4">
        <v>45586</v>
      </c>
      <c r="B32" s="2" t="s">
        <v>26</v>
      </c>
      <c r="C32" s="2">
        <v>1707</v>
      </c>
      <c r="D32" s="2">
        <v>223</v>
      </c>
      <c r="E32" s="2">
        <v>256910</v>
      </c>
      <c r="F32" s="2">
        <v>5.41</v>
      </c>
      <c r="G32" s="2">
        <v>44321</v>
      </c>
      <c r="H32" s="47">
        <f t="shared" si="0"/>
        <v>5.7763419096181542E-3</v>
      </c>
      <c r="I32">
        <f t="shared" si="1"/>
        <v>13898.831</v>
      </c>
      <c r="J32" t="str">
        <f>_xlfn.XLOOKUP(A32, 'Campaign Metadata'!$B$2:$B$5, 'Campaign Metadata'!$A$2:$A$5, "No Campaign", -1)</f>
        <v>ModelYCampaign</v>
      </c>
    </row>
    <row r="33" spans="1:10" ht="15.75" customHeight="1" x14ac:dyDescent="0.25">
      <c r="A33" s="4">
        <v>45698</v>
      </c>
      <c r="B33" s="2" t="s">
        <v>26</v>
      </c>
      <c r="C33" s="2">
        <v>1707</v>
      </c>
      <c r="D33" s="2">
        <v>263</v>
      </c>
      <c r="E33" s="2">
        <v>485280</v>
      </c>
      <c r="F33" s="2">
        <v>9.0299999999999994</v>
      </c>
      <c r="G33" s="2">
        <v>24494</v>
      </c>
      <c r="H33" s="47">
        <f t="shared" si="0"/>
        <v>2.9756017144741179E-3</v>
      </c>
      <c r="I33">
        <f t="shared" si="1"/>
        <v>43820.783999999992</v>
      </c>
      <c r="J33" t="str">
        <f>_xlfn.XLOOKUP(A33, 'Campaign Metadata'!$B$2:$B$5, 'Campaign Metadata'!$A$2:$A$5, "No Campaign", -1)</f>
        <v>FSDUpdate</v>
      </c>
    </row>
    <row r="34" spans="1:10" ht="15.75" customHeight="1" x14ac:dyDescent="0.25">
      <c r="A34" s="4">
        <v>45768</v>
      </c>
      <c r="B34" s="2" t="s">
        <v>26</v>
      </c>
      <c r="C34" s="2">
        <v>1707</v>
      </c>
      <c r="D34" s="2">
        <v>74</v>
      </c>
      <c r="E34" s="2">
        <v>270958</v>
      </c>
      <c r="F34" s="2">
        <v>3.09</v>
      </c>
      <c r="G34" s="2">
        <v>14090</v>
      </c>
      <c r="H34" s="47">
        <f t="shared" ref="H34:H65" si="2">(C34-D34)/E34</f>
        <v>6.0267642955734836E-3</v>
      </c>
      <c r="I34">
        <f t="shared" ref="I34:I65" si="3">E34*(F34/100)</f>
        <v>8372.6021999999994</v>
      </c>
      <c r="J34" t="str">
        <f>_xlfn.XLOOKUP(A34, 'Campaign Metadata'!$B$2:$B$5, 'Campaign Metadata'!$A$2:$A$5, "No Campaign", -1)</f>
        <v>SustainabilityDrive</v>
      </c>
    </row>
    <row r="35" spans="1:10" ht="15.75" customHeight="1" x14ac:dyDescent="0.25">
      <c r="A35" s="4">
        <v>45495</v>
      </c>
      <c r="B35" s="2" t="s">
        <v>13</v>
      </c>
      <c r="C35" s="2">
        <v>1701</v>
      </c>
      <c r="D35" s="2">
        <v>385</v>
      </c>
      <c r="E35" s="2">
        <v>198278</v>
      </c>
      <c r="F35" s="2">
        <v>5.34</v>
      </c>
      <c r="G35" s="2">
        <v>32763</v>
      </c>
      <c r="H35" s="47">
        <f t="shared" si="2"/>
        <v>6.6371458255580548E-3</v>
      </c>
      <c r="I35">
        <f t="shared" si="3"/>
        <v>10588.045199999999</v>
      </c>
      <c r="J35" t="str">
        <f>_xlfn.XLOOKUP(A35, 'Campaign Metadata'!$B$2:$B$5, 'Campaign Metadata'!$A$2:$A$5, "No Campaign", -1)</f>
        <v>CybertruckLaunch</v>
      </c>
    </row>
    <row r="36" spans="1:10" ht="15.75" customHeight="1" x14ac:dyDescent="0.25">
      <c r="A36" s="4">
        <v>45453</v>
      </c>
      <c r="B36" s="2" t="s">
        <v>42</v>
      </c>
      <c r="C36" s="2">
        <v>1697</v>
      </c>
      <c r="D36" s="2">
        <v>414</v>
      </c>
      <c r="E36" s="2">
        <v>316555</v>
      </c>
      <c r="F36" s="2">
        <v>2.37</v>
      </c>
      <c r="G36" s="2">
        <v>7924</v>
      </c>
      <c r="H36" s="47">
        <f t="shared" si="2"/>
        <v>4.0530081660374974E-3</v>
      </c>
      <c r="I36">
        <f t="shared" si="3"/>
        <v>7502.3535000000011</v>
      </c>
      <c r="J36" t="str">
        <f>_xlfn.XLOOKUP(A36, 'Campaign Metadata'!$B$2:$B$5, 'Campaign Metadata'!$A$2:$A$5, "No Campaign", -1)</f>
        <v>No Campaign</v>
      </c>
    </row>
    <row r="37" spans="1:10" ht="15.75" customHeight="1" x14ac:dyDescent="0.25">
      <c r="A37" s="4">
        <v>45628</v>
      </c>
      <c r="B37" s="2" t="s">
        <v>32</v>
      </c>
      <c r="C37" s="2">
        <v>1696</v>
      </c>
      <c r="D37" s="2">
        <v>71</v>
      </c>
      <c r="E37" s="2">
        <v>421957</v>
      </c>
      <c r="F37" s="2">
        <v>3.79</v>
      </c>
      <c r="G37" s="2">
        <v>36103</v>
      </c>
      <c r="H37" s="47">
        <f t="shared" si="2"/>
        <v>3.8511033114748661E-3</v>
      </c>
      <c r="I37">
        <f t="shared" si="3"/>
        <v>15992.170300000002</v>
      </c>
      <c r="J37" t="str">
        <f>_xlfn.XLOOKUP(A37, 'Campaign Metadata'!$B$2:$B$5, 'Campaign Metadata'!$A$2:$A$5, "No Campaign", -1)</f>
        <v>ModelYCampaign</v>
      </c>
    </row>
    <row r="38" spans="1:10" ht="15.75" customHeight="1" x14ac:dyDescent="0.25">
      <c r="A38" s="4">
        <v>45775</v>
      </c>
      <c r="B38" s="2" t="s">
        <v>32</v>
      </c>
      <c r="C38" s="2">
        <v>1693</v>
      </c>
      <c r="D38" s="2">
        <v>154</v>
      </c>
      <c r="E38" s="2">
        <v>445944</v>
      </c>
      <c r="F38" s="2">
        <v>5.69</v>
      </c>
      <c r="G38" s="2">
        <v>14216</v>
      </c>
      <c r="H38" s="47">
        <f t="shared" si="2"/>
        <v>3.4511059684624078E-3</v>
      </c>
      <c r="I38">
        <f t="shared" si="3"/>
        <v>25374.213600000003</v>
      </c>
      <c r="J38" t="str">
        <f>_xlfn.XLOOKUP(A38, 'Campaign Metadata'!$B$2:$B$5, 'Campaign Metadata'!$A$2:$A$5, "No Campaign", -1)</f>
        <v>SustainabilityDrive</v>
      </c>
    </row>
    <row r="39" spans="1:10" ht="15.75" customHeight="1" x14ac:dyDescent="0.25">
      <c r="A39" s="4">
        <v>45530</v>
      </c>
      <c r="B39" s="2" t="s">
        <v>32</v>
      </c>
      <c r="C39" s="2">
        <v>1685</v>
      </c>
      <c r="D39" s="2">
        <v>76</v>
      </c>
      <c r="E39" s="2">
        <v>453799</v>
      </c>
      <c r="F39" s="2">
        <v>5.71</v>
      </c>
      <c r="G39" s="2">
        <v>24913</v>
      </c>
      <c r="H39" s="47">
        <f t="shared" si="2"/>
        <v>3.5456226214689766E-3</v>
      </c>
      <c r="I39">
        <f t="shared" si="3"/>
        <v>25911.922899999998</v>
      </c>
      <c r="J39" t="str">
        <f>_xlfn.XLOOKUP(A39, 'Campaign Metadata'!$B$2:$B$5, 'Campaign Metadata'!$A$2:$A$5, "No Campaign", -1)</f>
        <v>CybertruckLaunch</v>
      </c>
    </row>
    <row r="40" spans="1:10" ht="15.75" customHeight="1" x14ac:dyDescent="0.25">
      <c r="A40" s="4">
        <v>45705</v>
      </c>
      <c r="B40" s="2" t="s">
        <v>26</v>
      </c>
      <c r="C40" s="2">
        <v>1662</v>
      </c>
      <c r="D40" s="2">
        <v>487</v>
      </c>
      <c r="E40" s="2">
        <v>105980</v>
      </c>
      <c r="F40" s="2">
        <v>9.08</v>
      </c>
      <c r="G40" s="2">
        <v>22996</v>
      </c>
      <c r="H40" s="47">
        <f t="shared" si="2"/>
        <v>1.1086997546706926E-2</v>
      </c>
      <c r="I40">
        <f t="shared" si="3"/>
        <v>9622.9840000000004</v>
      </c>
      <c r="J40" t="str">
        <f>_xlfn.XLOOKUP(A40, 'Campaign Metadata'!$B$2:$B$5, 'Campaign Metadata'!$A$2:$A$5, "No Campaign", -1)</f>
        <v>FSDUpdate</v>
      </c>
    </row>
    <row r="41" spans="1:10" ht="15.75" customHeight="1" x14ac:dyDescent="0.25">
      <c r="A41" s="4">
        <v>45726</v>
      </c>
      <c r="B41" s="2" t="s">
        <v>26</v>
      </c>
      <c r="C41" s="2">
        <v>1658</v>
      </c>
      <c r="D41" s="2">
        <v>416</v>
      </c>
      <c r="E41" s="2">
        <v>98397</v>
      </c>
      <c r="F41" s="2">
        <v>6.11</v>
      </c>
      <c r="G41" s="2">
        <v>11383</v>
      </c>
      <c r="H41" s="47">
        <f t="shared" si="2"/>
        <v>1.2622336046830695E-2</v>
      </c>
      <c r="I41">
        <f t="shared" si="3"/>
        <v>6012.0567000000001</v>
      </c>
      <c r="J41" t="str">
        <f>_xlfn.XLOOKUP(A41, 'Campaign Metadata'!$B$2:$B$5, 'Campaign Metadata'!$A$2:$A$5, "No Campaign", -1)</f>
        <v>SustainabilityDrive</v>
      </c>
    </row>
    <row r="42" spans="1:10" ht="15.75" customHeight="1" x14ac:dyDescent="0.25">
      <c r="A42" s="4">
        <v>45663</v>
      </c>
      <c r="B42" s="2" t="s">
        <v>13</v>
      </c>
      <c r="C42" s="2">
        <v>1633</v>
      </c>
      <c r="D42" s="2">
        <v>445</v>
      </c>
      <c r="E42" s="2">
        <v>371156</v>
      </c>
      <c r="F42" s="2">
        <v>2.2200000000000002</v>
      </c>
      <c r="G42" s="2">
        <v>2798</v>
      </c>
      <c r="H42" s="47">
        <f t="shared" si="2"/>
        <v>3.2008104408927781E-3</v>
      </c>
      <c r="I42">
        <f t="shared" si="3"/>
        <v>8239.6632000000009</v>
      </c>
      <c r="J42" t="str">
        <f>_xlfn.XLOOKUP(A42, 'Campaign Metadata'!$B$2:$B$5, 'Campaign Metadata'!$A$2:$A$5, "No Campaign", -1)</f>
        <v>FSDUpdate</v>
      </c>
    </row>
    <row r="43" spans="1:10" ht="15.75" customHeight="1" x14ac:dyDescent="0.25">
      <c r="A43" s="4">
        <v>45642</v>
      </c>
      <c r="B43" s="2" t="s">
        <v>42</v>
      </c>
      <c r="C43" s="2">
        <v>1623</v>
      </c>
      <c r="D43" s="2">
        <v>246</v>
      </c>
      <c r="E43" s="2">
        <v>415815</v>
      </c>
      <c r="F43" s="2">
        <v>8.11</v>
      </c>
      <c r="G43" s="2">
        <v>18656</v>
      </c>
      <c r="H43" s="47">
        <f t="shared" si="2"/>
        <v>3.311568846722701E-3</v>
      </c>
      <c r="I43">
        <f t="shared" si="3"/>
        <v>33722.5965</v>
      </c>
      <c r="J43" t="str">
        <f>_xlfn.XLOOKUP(A43, 'Campaign Metadata'!$B$2:$B$5, 'Campaign Metadata'!$A$2:$A$5, "No Campaign", -1)</f>
        <v>ModelYCampaign</v>
      </c>
    </row>
    <row r="44" spans="1:10" ht="15.75" customHeight="1" x14ac:dyDescent="0.25">
      <c r="A44" s="4">
        <v>45733</v>
      </c>
      <c r="B44" s="2" t="s">
        <v>26</v>
      </c>
      <c r="C44" s="2">
        <v>1596</v>
      </c>
      <c r="D44" s="2">
        <v>211</v>
      </c>
      <c r="E44" s="2">
        <v>17380</v>
      </c>
      <c r="F44" s="2">
        <v>8.64</v>
      </c>
      <c r="G44" s="2">
        <v>35801</v>
      </c>
      <c r="H44" s="47">
        <f t="shared" si="2"/>
        <v>7.9689298043728429E-2</v>
      </c>
      <c r="I44">
        <f t="shared" si="3"/>
        <v>1501.6320000000001</v>
      </c>
      <c r="J44" t="str">
        <f>_xlfn.XLOOKUP(A44, 'Campaign Metadata'!$B$2:$B$5, 'Campaign Metadata'!$A$2:$A$5, "No Campaign", -1)</f>
        <v>SustainabilityDrive</v>
      </c>
    </row>
    <row r="45" spans="1:10" ht="15.75" customHeight="1" x14ac:dyDescent="0.25">
      <c r="A45" s="4">
        <v>45544</v>
      </c>
      <c r="B45" s="2" t="s">
        <v>32</v>
      </c>
      <c r="C45" s="2">
        <v>1592</v>
      </c>
      <c r="D45" s="2">
        <v>20</v>
      </c>
      <c r="E45" s="2">
        <v>378054</v>
      </c>
      <c r="F45" s="2">
        <v>9.09</v>
      </c>
      <c r="G45" s="2">
        <v>26663</v>
      </c>
      <c r="H45" s="47">
        <f t="shared" si="2"/>
        <v>4.1581361392816901E-3</v>
      </c>
      <c r="I45">
        <f t="shared" si="3"/>
        <v>34365.1086</v>
      </c>
      <c r="J45" t="str">
        <f>_xlfn.XLOOKUP(A45, 'Campaign Metadata'!$B$2:$B$5, 'Campaign Metadata'!$A$2:$A$5, "No Campaign", -1)</f>
        <v>CybertruckLaunch</v>
      </c>
    </row>
    <row r="46" spans="1:10" ht="15.75" customHeight="1" x14ac:dyDescent="0.25">
      <c r="A46" s="4">
        <v>45642</v>
      </c>
      <c r="B46" s="2" t="s">
        <v>13</v>
      </c>
      <c r="C46" s="2">
        <v>1592</v>
      </c>
      <c r="D46" s="2">
        <v>233</v>
      </c>
      <c r="E46" s="2">
        <v>327183</v>
      </c>
      <c r="F46" s="2">
        <v>6.66</v>
      </c>
      <c r="G46" s="2">
        <v>13316</v>
      </c>
      <c r="H46" s="47">
        <f t="shared" si="2"/>
        <v>4.1536387893013997E-3</v>
      </c>
      <c r="I46">
        <f t="shared" si="3"/>
        <v>21790.3878</v>
      </c>
      <c r="J46" t="str">
        <f>_xlfn.XLOOKUP(A46, 'Campaign Metadata'!$B$2:$B$5, 'Campaign Metadata'!$A$2:$A$5, "No Campaign", -1)</f>
        <v>ModelYCampaign</v>
      </c>
    </row>
    <row r="47" spans="1:10" ht="15.75" customHeight="1" x14ac:dyDescent="0.25">
      <c r="A47" s="4">
        <v>45698</v>
      </c>
      <c r="B47" s="2" t="s">
        <v>13</v>
      </c>
      <c r="C47" s="2">
        <v>1587</v>
      </c>
      <c r="D47" s="2">
        <v>385</v>
      </c>
      <c r="E47" s="2">
        <v>126582</v>
      </c>
      <c r="F47" s="2">
        <v>6.99</v>
      </c>
      <c r="G47" s="2">
        <v>42832</v>
      </c>
      <c r="H47" s="47">
        <f t="shared" si="2"/>
        <v>9.4958208908059605E-3</v>
      </c>
      <c r="I47">
        <f t="shared" si="3"/>
        <v>8848.0817999999999</v>
      </c>
      <c r="J47" t="str">
        <f>_xlfn.XLOOKUP(A47, 'Campaign Metadata'!$B$2:$B$5, 'Campaign Metadata'!$A$2:$A$5, "No Campaign", -1)</f>
        <v>FSDUpdate</v>
      </c>
    </row>
    <row r="48" spans="1:10" ht="15.75" customHeight="1" x14ac:dyDescent="0.25">
      <c r="A48" s="4">
        <v>45782</v>
      </c>
      <c r="B48" s="2" t="s">
        <v>13</v>
      </c>
      <c r="C48" s="2">
        <v>1581</v>
      </c>
      <c r="D48" s="2">
        <v>71</v>
      </c>
      <c r="E48" s="2">
        <v>484364</v>
      </c>
      <c r="F48" s="2">
        <v>3.55</v>
      </c>
      <c r="G48" s="2">
        <v>16149</v>
      </c>
      <c r="H48" s="47">
        <f t="shared" si="2"/>
        <v>3.1174901520344203E-3</v>
      </c>
      <c r="I48">
        <f t="shared" si="3"/>
        <v>17194.921999999999</v>
      </c>
      <c r="J48" t="str">
        <f>_xlfn.XLOOKUP(A48, 'Campaign Metadata'!$B$2:$B$5, 'Campaign Metadata'!$A$2:$A$5, "No Campaign", -1)</f>
        <v>SustainabilityDrive</v>
      </c>
    </row>
    <row r="49" spans="1:10" ht="15.75" customHeight="1" x14ac:dyDescent="0.25">
      <c r="A49" s="4">
        <v>45691</v>
      </c>
      <c r="B49" s="2" t="s">
        <v>32</v>
      </c>
      <c r="C49" s="2">
        <v>1556</v>
      </c>
      <c r="D49" s="2">
        <v>476</v>
      </c>
      <c r="E49" s="2">
        <v>351556</v>
      </c>
      <c r="F49" s="2">
        <v>3.89</v>
      </c>
      <c r="G49" s="2">
        <v>10825</v>
      </c>
      <c r="H49" s="47">
        <f t="shared" si="2"/>
        <v>3.0720567989168156E-3</v>
      </c>
      <c r="I49">
        <f t="shared" si="3"/>
        <v>13675.528400000001</v>
      </c>
      <c r="J49" t="str">
        <f>_xlfn.XLOOKUP(A49, 'Campaign Metadata'!$B$2:$B$5, 'Campaign Metadata'!$A$2:$A$5, "No Campaign", -1)</f>
        <v>FSDUpdate</v>
      </c>
    </row>
    <row r="50" spans="1:10" ht="15.75" customHeight="1" x14ac:dyDescent="0.25">
      <c r="A50" s="4">
        <v>45446</v>
      </c>
      <c r="B50" s="2" t="s">
        <v>26</v>
      </c>
      <c r="C50" s="2">
        <v>1535</v>
      </c>
      <c r="D50" s="2">
        <v>445</v>
      </c>
      <c r="E50" s="2">
        <v>395536</v>
      </c>
      <c r="F50" s="2">
        <v>4.1100000000000003</v>
      </c>
      <c r="G50" s="2">
        <v>30671</v>
      </c>
      <c r="H50" s="47">
        <f t="shared" si="2"/>
        <v>2.7557542170624167E-3</v>
      </c>
      <c r="I50">
        <f t="shared" si="3"/>
        <v>16256.529600000002</v>
      </c>
      <c r="J50" t="str">
        <f>_xlfn.XLOOKUP(A50, 'Campaign Metadata'!$B$2:$B$5, 'Campaign Metadata'!$A$2:$A$5, "No Campaign", -1)</f>
        <v>No Campaign</v>
      </c>
    </row>
    <row r="51" spans="1:10" ht="15.75" customHeight="1" x14ac:dyDescent="0.25">
      <c r="A51" s="4">
        <v>45516</v>
      </c>
      <c r="B51" s="2" t="s">
        <v>42</v>
      </c>
      <c r="C51" s="2">
        <v>1534</v>
      </c>
      <c r="D51" s="2">
        <v>200</v>
      </c>
      <c r="E51" s="2">
        <v>307612</v>
      </c>
      <c r="F51" s="2">
        <v>6.01</v>
      </c>
      <c r="G51" s="2">
        <v>37903</v>
      </c>
      <c r="H51" s="47">
        <f t="shared" si="2"/>
        <v>4.3366318609156986E-3</v>
      </c>
      <c r="I51">
        <f t="shared" si="3"/>
        <v>18487.481200000002</v>
      </c>
      <c r="J51" t="str">
        <f>_xlfn.XLOOKUP(A51, 'Campaign Metadata'!$B$2:$B$5, 'Campaign Metadata'!$A$2:$A$5, "No Campaign", -1)</f>
        <v>CybertruckLaunch</v>
      </c>
    </row>
    <row r="52" spans="1:10" ht="15.75" customHeight="1" x14ac:dyDescent="0.25">
      <c r="A52" s="4">
        <v>45516</v>
      </c>
      <c r="B52" s="2" t="s">
        <v>32</v>
      </c>
      <c r="C52" s="2">
        <v>1528</v>
      </c>
      <c r="D52" s="2">
        <v>203</v>
      </c>
      <c r="E52" s="2">
        <v>489188</v>
      </c>
      <c r="F52" s="2">
        <v>6.23</v>
      </c>
      <c r="G52" s="2">
        <v>47101</v>
      </c>
      <c r="H52" s="47">
        <f t="shared" si="2"/>
        <v>2.7085701202809553E-3</v>
      </c>
      <c r="I52">
        <f t="shared" si="3"/>
        <v>30476.412400000001</v>
      </c>
      <c r="J52" t="str">
        <f>_xlfn.XLOOKUP(A52, 'Campaign Metadata'!$B$2:$B$5, 'Campaign Metadata'!$A$2:$A$5, "No Campaign", -1)</f>
        <v>CybertruckLaunch</v>
      </c>
    </row>
    <row r="53" spans="1:10" ht="15.75" customHeight="1" x14ac:dyDescent="0.25">
      <c r="A53" s="4">
        <v>45579</v>
      </c>
      <c r="B53" s="2" t="s">
        <v>32</v>
      </c>
      <c r="C53" s="2">
        <v>1527</v>
      </c>
      <c r="D53" s="2">
        <v>303</v>
      </c>
      <c r="E53" s="2">
        <v>388555</v>
      </c>
      <c r="F53" s="2">
        <v>8.9</v>
      </c>
      <c r="G53" s="2">
        <v>36397</v>
      </c>
      <c r="H53" s="47">
        <f t="shared" si="2"/>
        <v>3.1501331857780751E-3</v>
      </c>
      <c r="I53">
        <f t="shared" si="3"/>
        <v>34581.395000000004</v>
      </c>
      <c r="J53" t="str">
        <f>_xlfn.XLOOKUP(A53, 'Campaign Metadata'!$B$2:$B$5, 'Campaign Metadata'!$A$2:$A$5, "No Campaign", -1)</f>
        <v>ModelYCampaign</v>
      </c>
    </row>
    <row r="54" spans="1:10" ht="15.75" customHeight="1" x14ac:dyDescent="0.25">
      <c r="A54" s="4">
        <v>45537</v>
      </c>
      <c r="B54" s="2" t="s">
        <v>42</v>
      </c>
      <c r="C54" s="2">
        <v>1520</v>
      </c>
      <c r="D54" s="2">
        <v>475</v>
      </c>
      <c r="E54" s="2">
        <v>496982</v>
      </c>
      <c r="F54" s="2">
        <v>6.41</v>
      </c>
      <c r="G54" s="2">
        <v>24384</v>
      </c>
      <c r="H54" s="47">
        <f t="shared" si="2"/>
        <v>2.1026918479944948E-3</v>
      </c>
      <c r="I54">
        <f t="shared" si="3"/>
        <v>31856.546200000001</v>
      </c>
      <c r="J54" t="str">
        <f>_xlfn.XLOOKUP(A54, 'Campaign Metadata'!$B$2:$B$5, 'Campaign Metadata'!$A$2:$A$5, "No Campaign", -1)</f>
        <v>CybertruckLaunch</v>
      </c>
    </row>
    <row r="55" spans="1:10" ht="15.75" customHeight="1" x14ac:dyDescent="0.25">
      <c r="A55" s="4">
        <v>45635</v>
      </c>
      <c r="B55" s="2" t="s">
        <v>42</v>
      </c>
      <c r="C55" s="2">
        <v>1514</v>
      </c>
      <c r="D55" s="2">
        <v>141</v>
      </c>
      <c r="E55" s="2">
        <v>35842</v>
      </c>
      <c r="F55" s="2">
        <v>7.47</v>
      </c>
      <c r="G55" s="2">
        <v>18601</v>
      </c>
      <c r="H55" s="47">
        <f t="shared" si="2"/>
        <v>3.8307014117515761E-2</v>
      </c>
      <c r="I55">
        <f t="shared" si="3"/>
        <v>2677.3974000000003</v>
      </c>
      <c r="J55" t="str">
        <f>_xlfn.XLOOKUP(A55, 'Campaign Metadata'!$B$2:$B$5, 'Campaign Metadata'!$A$2:$A$5, "No Campaign", -1)</f>
        <v>ModelYCampaign</v>
      </c>
    </row>
    <row r="56" spans="1:10" ht="15.75" customHeight="1" x14ac:dyDescent="0.25">
      <c r="A56" s="4">
        <v>45600</v>
      </c>
      <c r="B56" s="2" t="s">
        <v>26</v>
      </c>
      <c r="C56" s="2">
        <v>1507</v>
      </c>
      <c r="D56" s="2">
        <v>463</v>
      </c>
      <c r="E56" s="2">
        <v>258944</v>
      </c>
      <c r="F56" s="2">
        <v>6.08</v>
      </c>
      <c r="G56" s="2">
        <v>16443</v>
      </c>
      <c r="H56" s="47">
        <f t="shared" si="2"/>
        <v>4.0317597627286209E-3</v>
      </c>
      <c r="I56">
        <f t="shared" si="3"/>
        <v>15743.7952</v>
      </c>
      <c r="J56" t="str">
        <f>_xlfn.XLOOKUP(A56, 'Campaign Metadata'!$B$2:$B$5, 'Campaign Metadata'!$A$2:$A$5, "No Campaign", -1)</f>
        <v>ModelYCampaign</v>
      </c>
    </row>
    <row r="57" spans="1:10" ht="15.75" customHeight="1" x14ac:dyDescent="0.25">
      <c r="A57" s="4">
        <v>45642</v>
      </c>
      <c r="B57" s="2" t="s">
        <v>32</v>
      </c>
      <c r="C57" s="2">
        <v>1502</v>
      </c>
      <c r="D57" s="2">
        <v>70</v>
      </c>
      <c r="E57" s="2">
        <v>465553</v>
      </c>
      <c r="F57" s="2">
        <v>3.32</v>
      </c>
      <c r="G57" s="2">
        <v>20692</v>
      </c>
      <c r="H57" s="47">
        <f t="shared" si="2"/>
        <v>3.0759118725472716E-3</v>
      </c>
      <c r="I57">
        <f t="shared" si="3"/>
        <v>15456.3596</v>
      </c>
      <c r="J57" t="str">
        <f>_xlfn.XLOOKUP(A57, 'Campaign Metadata'!$B$2:$B$5, 'Campaign Metadata'!$A$2:$A$5, "No Campaign", -1)</f>
        <v>ModelYCampaign</v>
      </c>
    </row>
    <row r="58" spans="1:10" ht="15.75" customHeight="1" x14ac:dyDescent="0.25">
      <c r="A58" s="4">
        <v>45684</v>
      </c>
      <c r="B58" s="2" t="s">
        <v>13</v>
      </c>
      <c r="C58" s="2">
        <v>1501</v>
      </c>
      <c r="D58" s="2">
        <v>75</v>
      </c>
      <c r="E58" s="2">
        <v>262569</v>
      </c>
      <c r="F58" s="2">
        <v>2.0099999999999998</v>
      </c>
      <c r="G58" s="2">
        <v>19119</v>
      </c>
      <c r="H58" s="47">
        <f t="shared" si="2"/>
        <v>5.4309533874905263E-3</v>
      </c>
      <c r="I58">
        <f t="shared" si="3"/>
        <v>5277.6368999999986</v>
      </c>
      <c r="J58" t="str">
        <f>_xlfn.XLOOKUP(A58, 'Campaign Metadata'!$B$2:$B$5, 'Campaign Metadata'!$A$2:$A$5, "No Campaign", -1)</f>
        <v>FSDUpdate</v>
      </c>
    </row>
    <row r="59" spans="1:10" ht="15.75" customHeight="1" x14ac:dyDescent="0.25">
      <c r="A59" s="4">
        <v>45656</v>
      </c>
      <c r="B59" s="2" t="s">
        <v>26</v>
      </c>
      <c r="C59" s="2">
        <v>1495</v>
      </c>
      <c r="D59" s="2">
        <v>35</v>
      </c>
      <c r="E59" s="2">
        <v>136845</v>
      </c>
      <c r="F59" s="2">
        <v>4.4800000000000004</v>
      </c>
      <c r="G59" s="2">
        <v>39931</v>
      </c>
      <c r="H59" s="47">
        <f t="shared" si="2"/>
        <v>1.0669005078738719E-2</v>
      </c>
      <c r="I59">
        <f t="shared" si="3"/>
        <v>6130.6560000000009</v>
      </c>
      <c r="J59" t="str">
        <f>_xlfn.XLOOKUP(A59, 'Campaign Metadata'!$B$2:$B$5, 'Campaign Metadata'!$A$2:$A$5, "No Campaign", -1)</f>
        <v>FSDUpdate</v>
      </c>
    </row>
    <row r="60" spans="1:10" ht="15.75" customHeight="1" x14ac:dyDescent="0.25">
      <c r="A60" s="4">
        <v>45635</v>
      </c>
      <c r="B60" s="2" t="s">
        <v>32</v>
      </c>
      <c r="C60" s="2">
        <v>1494</v>
      </c>
      <c r="D60" s="2">
        <v>375</v>
      </c>
      <c r="E60" s="2">
        <v>220616</v>
      </c>
      <c r="F60" s="2">
        <v>1.81</v>
      </c>
      <c r="G60" s="2">
        <v>22724</v>
      </c>
      <c r="H60" s="47">
        <f t="shared" si="2"/>
        <v>5.0721615839286359E-3</v>
      </c>
      <c r="I60">
        <f t="shared" si="3"/>
        <v>3993.1496000000002</v>
      </c>
      <c r="J60" t="str">
        <f>_xlfn.XLOOKUP(A60, 'Campaign Metadata'!$B$2:$B$5, 'Campaign Metadata'!$A$2:$A$5, "No Campaign", -1)</f>
        <v>ModelYCampaign</v>
      </c>
    </row>
    <row r="61" spans="1:10" ht="15.75" customHeight="1" x14ac:dyDescent="0.25">
      <c r="A61" s="4">
        <v>45607</v>
      </c>
      <c r="B61" s="2" t="s">
        <v>13</v>
      </c>
      <c r="C61" s="2">
        <v>1487</v>
      </c>
      <c r="D61" s="2">
        <v>337</v>
      </c>
      <c r="E61" s="2">
        <v>87305</v>
      </c>
      <c r="F61" s="2">
        <v>2.46</v>
      </c>
      <c r="G61" s="2">
        <v>30428</v>
      </c>
      <c r="H61" s="47">
        <f t="shared" si="2"/>
        <v>1.3172212358971423E-2</v>
      </c>
      <c r="I61">
        <f t="shared" si="3"/>
        <v>2147.703</v>
      </c>
      <c r="J61" t="str">
        <f>_xlfn.XLOOKUP(A61, 'Campaign Metadata'!$B$2:$B$5, 'Campaign Metadata'!$A$2:$A$5, "No Campaign", -1)</f>
        <v>ModelYCampaign</v>
      </c>
    </row>
    <row r="62" spans="1:10" ht="15.75" customHeight="1" x14ac:dyDescent="0.25">
      <c r="A62" s="4">
        <v>45551</v>
      </c>
      <c r="B62" s="2" t="s">
        <v>13</v>
      </c>
      <c r="C62" s="2">
        <v>1472</v>
      </c>
      <c r="D62" s="2">
        <v>347</v>
      </c>
      <c r="E62" s="2">
        <v>392355</v>
      </c>
      <c r="F62" s="2">
        <v>8.59</v>
      </c>
      <c r="G62" s="2">
        <v>30270</v>
      </c>
      <c r="H62" s="47">
        <f t="shared" si="2"/>
        <v>2.8673012960201858E-3</v>
      </c>
      <c r="I62">
        <f t="shared" si="3"/>
        <v>33703.294500000004</v>
      </c>
      <c r="J62" t="str">
        <f>_xlfn.XLOOKUP(A62, 'Campaign Metadata'!$B$2:$B$5, 'Campaign Metadata'!$A$2:$A$5, "No Campaign", -1)</f>
        <v>CybertruckLaunch</v>
      </c>
    </row>
    <row r="63" spans="1:10" ht="15.75" customHeight="1" x14ac:dyDescent="0.25">
      <c r="A63" s="4">
        <v>45600</v>
      </c>
      <c r="B63" s="2" t="s">
        <v>32</v>
      </c>
      <c r="C63" s="2">
        <v>1466</v>
      </c>
      <c r="D63" s="2">
        <v>69</v>
      </c>
      <c r="E63" s="2">
        <v>54935</v>
      </c>
      <c r="F63" s="2">
        <v>6.85</v>
      </c>
      <c r="G63" s="2">
        <v>36484</v>
      </c>
      <c r="H63" s="47">
        <f t="shared" si="2"/>
        <v>2.5430053699827069E-2</v>
      </c>
      <c r="I63">
        <f t="shared" si="3"/>
        <v>3763.0474999999997</v>
      </c>
      <c r="J63" t="str">
        <f>_xlfn.XLOOKUP(A63, 'Campaign Metadata'!$B$2:$B$5, 'Campaign Metadata'!$A$2:$A$5, "No Campaign", -1)</f>
        <v>ModelYCampaign</v>
      </c>
    </row>
    <row r="64" spans="1:10" ht="15.75" customHeight="1" x14ac:dyDescent="0.25">
      <c r="A64" s="4">
        <v>45628</v>
      </c>
      <c r="B64" s="2" t="s">
        <v>13</v>
      </c>
      <c r="C64" s="2">
        <v>1441</v>
      </c>
      <c r="D64" s="2">
        <v>268</v>
      </c>
      <c r="E64" s="2">
        <v>309904</v>
      </c>
      <c r="F64" s="2">
        <v>6.37</v>
      </c>
      <c r="G64" s="2">
        <v>3455</v>
      </c>
      <c r="H64" s="47">
        <f t="shared" si="2"/>
        <v>3.7850431101244257E-3</v>
      </c>
      <c r="I64">
        <f t="shared" si="3"/>
        <v>19740.884800000003</v>
      </c>
      <c r="J64" t="str">
        <f>_xlfn.XLOOKUP(A64, 'Campaign Metadata'!$B$2:$B$5, 'Campaign Metadata'!$A$2:$A$5, "No Campaign", -1)</f>
        <v>ModelYCampaign</v>
      </c>
    </row>
    <row r="65" spans="1:10" ht="15.75" customHeight="1" x14ac:dyDescent="0.25">
      <c r="A65" s="4">
        <v>45712</v>
      </c>
      <c r="B65" s="2" t="s">
        <v>32</v>
      </c>
      <c r="C65" s="2">
        <v>1440</v>
      </c>
      <c r="D65" s="2">
        <v>65</v>
      </c>
      <c r="E65" s="2">
        <v>126524</v>
      </c>
      <c r="F65" s="2">
        <v>4.34</v>
      </c>
      <c r="G65" s="2">
        <v>49772</v>
      </c>
      <c r="H65" s="47">
        <f t="shared" si="2"/>
        <v>1.0867503398564699E-2</v>
      </c>
      <c r="I65">
        <f t="shared" si="3"/>
        <v>5491.1415999999999</v>
      </c>
      <c r="J65" t="str">
        <f>_xlfn.XLOOKUP(A65, 'Campaign Metadata'!$B$2:$B$5, 'Campaign Metadata'!$A$2:$A$5, "No Campaign", -1)</f>
        <v>FSDUpdate</v>
      </c>
    </row>
    <row r="66" spans="1:10" ht="15.75" customHeight="1" x14ac:dyDescent="0.25">
      <c r="A66" s="4">
        <v>45565</v>
      </c>
      <c r="B66" s="2" t="s">
        <v>32</v>
      </c>
      <c r="C66" s="2">
        <v>1433</v>
      </c>
      <c r="D66" s="2">
        <v>408</v>
      </c>
      <c r="E66" s="2">
        <v>370269</v>
      </c>
      <c r="F66" s="2">
        <v>3.3</v>
      </c>
      <c r="G66" s="2">
        <v>30575</v>
      </c>
      <c r="H66" s="47">
        <f t="shared" ref="H66:H97" si="4">(C66-D66)/E66</f>
        <v>2.7682576721248606E-3</v>
      </c>
      <c r="I66">
        <f t="shared" ref="I66:I97" si="5">E66*(F66/100)</f>
        <v>12218.877</v>
      </c>
      <c r="J66" t="str">
        <f>_xlfn.XLOOKUP(A66, 'Campaign Metadata'!$B$2:$B$5, 'Campaign Metadata'!$A$2:$A$5, "No Campaign", -1)</f>
        <v>CybertruckLaunch</v>
      </c>
    </row>
    <row r="67" spans="1:10" ht="15.75" customHeight="1" x14ac:dyDescent="0.25">
      <c r="A67" s="4">
        <v>45754</v>
      </c>
      <c r="B67" s="2" t="s">
        <v>13</v>
      </c>
      <c r="C67" s="2">
        <v>1432</v>
      </c>
      <c r="D67" s="2">
        <v>425</v>
      </c>
      <c r="E67" s="2">
        <v>29589</v>
      </c>
      <c r="F67" s="2">
        <v>4.5</v>
      </c>
      <c r="G67" s="2">
        <v>42964</v>
      </c>
      <c r="H67" s="47">
        <f t="shared" si="4"/>
        <v>3.4032917638311531E-2</v>
      </c>
      <c r="I67">
        <f t="shared" si="5"/>
        <v>1331.5049999999999</v>
      </c>
      <c r="J67" t="str">
        <f>_xlfn.XLOOKUP(A67, 'Campaign Metadata'!$B$2:$B$5, 'Campaign Metadata'!$A$2:$A$5, "No Campaign", -1)</f>
        <v>SustainabilityDrive</v>
      </c>
    </row>
    <row r="68" spans="1:10" ht="15.75" customHeight="1" x14ac:dyDescent="0.25">
      <c r="A68" s="4">
        <v>45537</v>
      </c>
      <c r="B68" s="2" t="s">
        <v>32</v>
      </c>
      <c r="C68" s="2">
        <v>1429</v>
      </c>
      <c r="D68" s="2">
        <v>182</v>
      </c>
      <c r="E68" s="2">
        <v>101332</v>
      </c>
      <c r="F68" s="2">
        <v>7.16</v>
      </c>
      <c r="G68" s="2">
        <v>37829</v>
      </c>
      <c r="H68" s="47">
        <f t="shared" si="4"/>
        <v>1.2306082974775983E-2</v>
      </c>
      <c r="I68">
        <f t="shared" si="5"/>
        <v>7255.3711999999996</v>
      </c>
      <c r="J68" t="str">
        <f>_xlfn.XLOOKUP(A68, 'Campaign Metadata'!$B$2:$B$5, 'Campaign Metadata'!$A$2:$A$5, "No Campaign", -1)</f>
        <v>CybertruckLaunch</v>
      </c>
    </row>
    <row r="69" spans="1:10" ht="15.75" customHeight="1" x14ac:dyDescent="0.25">
      <c r="A69" s="4">
        <v>45474</v>
      </c>
      <c r="B69" s="2" t="s">
        <v>13</v>
      </c>
      <c r="C69" s="2">
        <v>1420</v>
      </c>
      <c r="D69" s="2">
        <v>63</v>
      </c>
      <c r="E69" s="2">
        <v>315305</v>
      </c>
      <c r="F69" s="2">
        <v>6.19</v>
      </c>
      <c r="G69" s="2">
        <v>5914</v>
      </c>
      <c r="H69" s="47">
        <f t="shared" si="4"/>
        <v>4.3037693661692649E-3</v>
      </c>
      <c r="I69">
        <f t="shared" si="5"/>
        <v>19517.379500000003</v>
      </c>
      <c r="J69" t="str">
        <f>_xlfn.XLOOKUP(A69, 'Campaign Metadata'!$B$2:$B$5, 'Campaign Metadata'!$A$2:$A$5, "No Campaign", -1)</f>
        <v>CybertruckLaunch</v>
      </c>
    </row>
    <row r="70" spans="1:10" ht="15.75" customHeight="1" x14ac:dyDescent="0.25">
      <c r="A70" s="4">
        <v>45684</v>
      </c>
      <c r="B70" s="2" t="s">
        <v>26</v>
      </c>
      <c r="C70" s="2">
        <v>1411</v>
      </c>
      <c r="D70" s="2">
        <v>186</v>
      </c>
      <c r="E70" s="2">
        <v>461669</v>
      </c>
      <c r="F70" s="2">
        <v>3.72</v>
      </c>
      <c r="G70" s="2">
        <v>43999</v>
      </c>
      <c r="H70" s="47">
        <f t="shared" si="4"/>
        <v>2.6534161921203288E-3</v>
      </c>
      <c r="I70">
        <f t="shared" si="5"/>
        <v>17174.086800000001</v>
      </c>
      <c r="J70" t="str">
        <f>_xlfn.XLOOKUP(A70, 'Campaign Metadata'!$B$2:$B$5, 'Campaign Metadata'!$A$2:$A$5, "No Campaign", -1)</f>
        <v>FSDUpdate</v>
      </c>
    </row>
    <row r="71" spans="1:10" ht="15.75" customHeight="1" x14ac:dyDescent="0.25">
      <c r="A71" s="4">
        <v>45544</v>
      </c>
      <c r="B71" s="2" t="s">
        <v>26</v>
      </c>
      <c r="C71" s="2">
        <v>1409</v>
      </c>
      <c r="D71" s="2">
        <v>309</v>
      </c>
      <c r="E71" s="2">
        <v>64583</v>
      </c>
      <c r="F71" s="2">
        <v>8.99</v>
      </c>
      <c r="G71" s="2">
        <v>10217</v>
      </c>
      <c r="H71" s="47">
        <f t="shared" si="4"/>
        <v>1.7032345973398571E-2</v>
      </c>
      <c r="I71">
        <f t="shared" si="5"/>
        <v>5806.0117000000009</v>
      </c>
      <c r="J71" t="str">
        <f>_xlfn.XLOOKUP(A71, 'Campaign Metadata'!$B$2:$B$5, 'Campaign Metadata'!$A$2:$A$5, "No Campaign", -1)</f>
        <v>CybertruckLaunch</v>
      </c>
    </row>
    <row r="72" spans="1:10" ht="15.75" customHeight="1" x14ac:dyDescent="0.25">
      <c r="A72" s="4">
        <v>45726</v>
      </c>
      <c r="B72" s="2" t="s">
        <v>13</v>
      </c>
      <c r="C72" s="2">
        <v>1399</v>
      </c>
      <c r="D72" s="2">
        <v>49</v>
      </c>
      <c r="E72" s="2">
        <v>12471</v>
      </c>
      <c r="F72" s="2">
        <v>5.12</v>
      </c>
      <c r="G72" s="2">
        <v>14722</v>
      </c>
      <c r="H72" s="47">
        <f t="shared" si="4"/>
        <v>0.10825114265095021</v>
      </c>
      <c r="I72">
        <f t="shared" si="5"/>
        <v>638.51520000000005</v>
      </c>
      <c r="J72" t="str">
        <f>_xlfn.XLOOKUP(A72, 'Campaign Metadata'!$B$2:$B$5, 'Campaign Metadata'!$A$2:$A$5, "No Campaign", -1)</f>
        <v>SustainabilityDrive</v>
      </c>
    </row>
    <row r="73" spans="1:10" ht="15.75" customHeight="1" x14ac:dyDescent="0.25">
      <c r="A73" s="4">
        <v>45495</v>
      </c>
      <c r="B73" s="2" t="s">
        <v>42</v>
      </c>
      <c r="C73" s="2">
        <v>1391</v>
      </c>
      <c r="D73" s="2">
        <v>430</v>
      </c>
      <c r="E73" s="2">
        <v>295032</v>
      </c>
      <c r="F73" s="2">
        <v>7.86</v>
      </c>
      <c r="G73" s="2">
        <v>26067</v>
      </c>
      <c r="H73" s="47">
        <f t="shared" si="4"/>
        <v>3.2572737872501967E-3</v>
      </c>
      <c r="I73">
        <f t="shared" si="5"/>
        <v>23189.515200000002</v>
      </c>
      <c r="J73" t="str">
        <f>_xlfn.XLOOKUP(A73, 'Campaign Metadata'!$B$2:$B$5, 'Campaign Metadata'!$A$2:$A$5, "No Campaign", -1)</f>
        <v>CybertruckLaunch</v>
      </c>
    </row>
    <row r="74" spans="1:10" ht="15.75" customHeight="1" x14ac:dyDescent="0.25">
      <c r="A74" s="4">
        <v>45768</v>
      </c>
      <c r="B74" s="2" t="s">
        <v>42</v>
      </c>
      <c r="C74" s="2">
        <v>1375</v>
      </c>
      <c r="D74" s="2">
        <v>330</v>
      </c>
      <c r="E74" s="2">
        <v>377382</v>
      </c>
      <c r="F74" s="2">
        <v>2.6</v>
      </c>
      <c r="G74" s="2">
        <v>7875</v>
      </c>
      <c r="H74" s="47">
        <f t="shared" si="4"/>
        <v>2.7690774864725927E-3</v>
      </c>
      <c r="I74">
        <f t="shared" si="5"/>
        <v>9811.9320000000007</v>
      </c>
      <c r="J74" t="str">
        <f>_xlfn.XLOOKUP(A74, 'Campaign Metadata'!$B$2:$B$5, 'Campaign Metadata'!$A$2:$A$5, "No Campaign", -1)</f>
        <v>SustainabilityDrive</v>
      </c>
    </row>
    <row r="75" spans="1:10" ht="15.75" customHeight="1" x14ac:dyDescent="0.25">
      <c r="A75" s="4">
        <v>45719</v>
      </c>
      <c r="B75" s="2" t="s">
        <v>32</v>
      </c>
      <c r="C75" s="2">
        <v>1371</v>
      </c>
      <c r="D75" s="2">
        <v>56</v>
      </c>
      <c r="E75" s="2">
        <v>257579</v>
      </c>
      <c r="F75" s="2">
        <v>8.6199999999999992</v>
      </c>
      <c r="G75" s="2">
        <v>33799</v>
      </c>
      <c r="H75" s="47">
        <f t="shared" si="4"/>
        <v>5.1052298518124532E-3</v>
      </c>
      <c r="I75">
        <f t="shared" si="5"/>
        <v>22203.309799999999</v>
      </c>
      <c r="J75" t="str">
        <f>_xlfn.XLOOKUP(A75, 'Campaign Metadata'!$B$2:$B$5, 'Campaign Metadata'!$A$2:$A$5, "No Campaign", -1)</f>
        <v>SustainabilityDrive</v>
      </c>
    </row>
    <row r="76" spans="1:10" ht="15.75" customHeight="1" x14ac:dyDescent="0.25">
      <c r="A76" s="4">
        <v>45733</v>
      </c>
      <c r="B76" s="2" t="s">
        <v>42</v>
      </c>
      <c r="C76" s="2">
        <v>1358</v>
      </c>
      <c r="D76" s="2">
        <v>242</v>
      </c>
      <c r="E76" s="2">
        <v>342129</v>
      </c>
      <c r="F76" s="2">
        <v>4.9400000000000004</v>
      </c>
      <c r="G76" s="2">
        <v>29116</v>
      </c>
      <c r="H76" s="47">
        <f t="shared" si="4"/>
        <v>3.2619275185675578E-3</v>
      </c>
      <c r="I76">
        <f t="shared" si="5"/>
        <v>16901.172600000002</v>
      </c>
      <c r="J76" t="str">
        <f>_xlfn.XLOOKUP(A76, 'Campaign Metadata'!$B$2:$B$5, 'Campaign Metadata'!$A$2:$A$5, "No Campaign", -1)</f>
        <v>SustainabilityDrive</v>
      </c>
    </row>
    <row r="77" spans="1:10" ht="15.75" customHeight="1" x14ac:dyDescent="0.25">
      <c r="A77" s="4">
        <v>45460</v>
      </c>
      <c r="B77" s="2" t="s">
        <v>13</v>
      </c>
      <c r="C77" s="2">
        <v>1335</v>
      </c>
      <c r="D77" s="2">
        <v>40</v>
      </c>
      <c r="E77" s="2">
        <v>122732</v>
      </c>
      <c r="F77" s="2">
        <v>8.19</v>
      </c>
      <c r="G77" s="2">
        <v>22482</v>
      </c>
      <c r="H77" s="47">
        <f t="shared" si="4"/>
        <v>1.0551445425805821E-2</v>
      </c>
      <c r="I77">
        <f t="shared" si="5"/>
        <v>10051.7508</v>
      </c>
      <c r="J77" t="str">
        <f>_xlfn.XLOOKUP(A77, 'Campaign Metadata'!$B$2:$B$5, 'Campaign Metadata'!$A$2:$A$5, "No Campaign", -1)</f>
        <v>CybertruckLaunch</v>
      </c>
    </row>
    <row r="78" spans="1:10" ht="15.75" customHeight="1" x14ac:dyDescent="0.25">
      <c r="A78" s="4">
        <v>45670</v>
      </c>
      <c r="B78" s="2" t="s">
        <v>26</v>
      </c>
      <c r="C78" s="2">
        <v>1331</v>
      </c>
      <c r="D78" s="2">
        <v>430</v>
      </c>
      <c r="E78" s="2">
        <v>14437</v>
      </c>
      <c r="F78" s="2">
        <v>3.29</v>
      </c>
      <c r="G78" s="2">
        <v>40868</v>
      </c>
      <c r="H78" s="47">
        <f t="shared" si="4"/>
        <v>6.2409087760615087E-2</v>
      </c>
      <c r="I78">
        <f t="shared" si="5"/>
        <v>474.97729999999996</v>
      </c>
      <c r="J78" t="str">
        <f>_xlfn.XLOOKUP(A78, 'Campaign Metadata'!$B$2:$B$5, 'Campaign Metadata'!$A$2:$A$5, "No Campaign", -1)</f>
        <v>FSDUpdate</v>
      </c>
    </row>
    <row r="79" spans="1:10" ht="15.75" customHeight="1" x14ac:dyDescent="0.25">
      <c r="A79" s="4">
        <v>45446</v>
      </c>
      <c r="B79" s="2" t="s">
        <v>42</v>
      </c>
      <c r="C79" s="2">
        <v>1312</v>
      </c>
      <c r="D79" s="2">
        <v>310</v>
      </c>
      <c r="E79" s="2">
        <v>42654</v>
      </c>
      <c r="F79" s="2">
        <v>4.9800000000000004</v>
      </c>
      <c r="G79" s="2">
        <v>9566</v>
      </c>
      <c r="H79" s="47">
        <f t="shared" si="4"/>
        <v>2.3491348994232664E-2</v>
      </c>
      <c r="I79">
        <f t="shared" si="5"/>
        <v>2124.1692000000003</v>
      </c>
      <c r="J79" t="str">
        <f>_xlfn.XLOOKUP(A79, 'Campaign Metadata'!$B$2:$B$5, 'Campaign Metadata'!$A$2:$A$5, "No Campaign", -1)</f>
        <v>No Campaign</v>
      </c>
    </row>
    <row r="80" spans="1:10" ht="15.75" customHeight="1" x14ac:dyDescent="0.25">
      <c r="A80" s="4">
        <v>45754</v>
      </c>
      <c r="B80" s="2" t="s">
        <v>42</v>
      </c>
      <c r="C80" s="2">
        <v>1307</v>
      </c>
      <c r="D80" s="2">
        <v>278</v>
      </c>
      <c r="E80" s="2">
        <v>98596</v>
      </c>
      <c r="F80" s="2">
        <v>2.4900000000000002</v>
      </c>
      <c r="G80" s="2">
        <v>47603</v>
      </c>
      <c r="H80" s="47">
        <f t="shared" si="4"/>
        <v>1.0436528865268368E-2</v>
      </c>
      <c r="I80">
        <f t="shared" si="5"/>
        <v>2455.0404000000003</v>
      </c>
      <c r="J80" t="str">
        <f>_xlfn.XLOOKUP(A80, 'Campaign Metadata'!$B$2:$B$5, 'Campaign Metadata'!$A$2:$A$5, "No Campaign", -1)</f>
        <v>SustainabilityDrive</v>
      </c>
    </row>
    <row r="81" spans="1:10" ht="15.75" customHeight="1" x14ac:dyDescent="0.25">
      <c r="A81" s="4">
        <v>45530</v>
      </c>
      <c r="B81" s="2" t="s">
        <v>13</v>
      </c>
      <c r="C81" s="2">
        <v>1300</v>
      </c>
      <c r="D81" s="2">
        <v>71</v>
      </c>
      <c r="E81" s="2">
        <v>186454</v>
      </c>
      <c r="F81" s="2">
        <v>3.91</v>
      </c>
      <c r="G81" s="2">
        <v>9942</v>
      </c>
      <c r="H81" s="47">
        <f t="shared" si="4"/>
        <v>6.5914381026955706E-3</v>
      </c>
      <c r="I81">
        <f t="shared" si="5"/>
        <v>7290.3514000000005</v>
      </c>
      <c r="J81" t="str">
        <f>_xlfn.XLOOKUP(A81, 'Campaign Metadata'!$B$2:$B$5, 'Campaign Metadata'!$A$2:$A$5, "No Campaign", -1)</f>
        <v>CybertruckLaunch</v>
      </c>
    </row>
    <row r="82" spans="1:10" ht="15.75" customHeight="1" x14ac:dyDescent="0.25">
      <c r="A82" s="4">
        <v>45698</v>
      </c>
      <c r="B82" s="2" t="s">
        <v>42</v>
      </c>
      <c r="C82" s="2">
        <v>1294</v>
      </c>
      <c r="D82" s="2">
        <v>382</v>
      </c>
      <c r="E82" s="2">
        <v>309914</v>
      </c>
      <c r="F82" s="2">
        <v>8.0299999999999994</v>
      </c>
      <c r="G82" s="2">
        <v>23489</v>
      </c>
      <c r="H82" s="47">
        <f t="shared" si="4"/>
        <v>2.9427518601934728E-3</v>
      </c>
      <c r="I82">
        <f t="shared" si="5"/>
        <v>24886.0942</v>
      </c>
      <c r="J82" t="str">
        <f>_xlfn.XLOOKUP(A82, 'Campaign Metadata'!$B$2:$B$5, 'Campaign Metadata'!$A$2:$A$5, "No Campaign", -1)</f>
        <v>FSDUpdate</v>
      </c>
    </row>
    <row r="83" spans="1:10" ht="15.75" customHeight="1" x14ac:dyDescent="0.25">
      <c r="A83" s="4">
        <v>45621</v>
      </c>
      <c r="B83" s="2" t="s">
        <v>26</v>
      </c>
      <c r="C83" s="2">
        <v>1293</v>
      </c>
      <c r="D83" s="2">
        <v>408</v>
      </c>
      <c r="E83" s="2">
        <v>62535</v>
      </c>
      <c r="F83" s="2">
        <v>8.9</v>
      </c>
      <c r="G83" s="2">
        <v>37876</v>
      </c>
      <c r="H83" s="47">
        <f t="shared" si="4"/>
        <v>1.4152074838090669E-2</v>
      </c>
      <c r="I83">
        <f t="shared" si="5"/>
        <v>5565.6150000000007</v>
      </c>
      <c r="J83" t="str">
        <f>_xlfn.XLOOKUP(A83, 'Campaign Metadata'!$B$2:$B$5, 'Campaign Metadata'!$A$2:$A$5, "No Campaign", -1)</f>
        <v>ModelYCampaign</v>
      </c>
    </row>
    <row r="84" spans="1:10" ht="15.75" customHeight="1" x14ac:dyDescent="0.25">
      <c r="A84" s="4">
        <v>45684</v>
      </c>
      <c r="B84" s="2" t="s">
        <v>42</v>
      </c>
      <c r="C84" s="2">
        <v>1249</v>
      </c>
      <c r="D84" s="2">
        <v>351</v>
      </c>
      <c r="E84" s="2">
        <v>321307</v>
      </c>
      <c r="F84" s="2">
        <v>6.37</v>
      </c>
      <c r="G84" s="2">
        <v>20560</v>
      </c>
      <c r="H84" s="47">
        <f t="shared" si="4"/>
        <v>2.7948348464241365E-3</v>
      </c>
      <c r="I84">
        <f t="shared" si="5"/>
        <v>20467.255900000004</v>
      </c>
      <c r="J84" t="str">
        <f>_xlfn.XLOOKUP(A84, 'Campaign Metadata'!$B$2:$B$5, 'Campaign Metadata'!$A$2:$A$5, "No Campaign", -1)</f>
        <v>FSDUpdate</v>
      </c>
    </row>
    <row r="85" spans="1:10" ht="15.75" customHeight="1" x14ac:dyDescent="0.25">
      <c r="A85" s="4">
        <v>45467</v>
      </c>
      <c r="B85" s="2" t="s">
        <v>13</v>
      </c>
      <c r="C85" s="2">
        <v>1238</v>
      </c>
      <c r="D85" s="2">
        <v>403</v>
      </c>
      <c r="E85" s="2">
        <v>298421</v>
      </c>
      <c r="F85" s="2">
        <v>3.5</v>
      </c>
      <c r="G85" s="2">
        <v>31280</v>
      </c>
      <c r="H85" s="47">
        <f t="shared" si="4"/>
        <v>2.798060458211721E-3</v>
      </c>
      <c r="I85">
        <f t="shared" si="5"/>
        <v>10444.735000000001</v>
      </c>
      <c r="J85" t="str">
        <f>_xlfn.XLOOKUP(A85, 'Campaign Metadata'!$B$2:$B$5, 'Campaign Metadata'!$A$2:$A$5, "No Campaign", -1)</f>
        <v>CybertruckLaunch</v>
      </c>
    </row>
    <row r="86" spans="1:10" ht="15.75" customHeight="1" x14ac:dyDescent="0.25">
      <c r="A86" s="4">
        <v>45775</v>
      </c>
      <c r="B86" s="2" t="s">
        <v>13</v>
      </c>
      <c r="C86" s="2">
        <v>1222</v>
      </c>
      <c r="D86" s="2">
        <v>274</v>
      </c>
      <c r="E86" s="2">
        <v>487289</v>
      </c>
      <c r="F86" s="2">
        <v>3.16</v>
      </c>
      <c r="G86" s="2">
        <v>32500</v>
      </c>
      <c r="H86" s="47">
        <f t="shared" si="4"/>
        <v>1.9454574184929272E-3</v>
      </c>
      <c r="I86">
        <f t="shared" si="5"/>
        <v>15398.332400000001</v>
      </c>
      <c r="J86" t="str">
        <f>_xlfn.XLOOKUP(A86, 'Campaign Metadata'!$B$2:$B$5, 'Campaign Metadata'!$A$2:$A$5, "No Campaign", -1)</f>
        <v>SustainabilityDrive</v>
      </c>
    </row>
    <row r="87" spans="1:10" ht="15.75" customHeight="1" x14ac:dyDescent="0.25">
      <c r="A87" s="4">
        <v>45558</v>
      </c>
      <c r="B87" s="2" t="s">
        <v>26</v>
      </c>
      <c r="C87" s="2">
        <v>1218</v>
      </c>
      <c r="D87" s="2">
        <v>212</v>
      </c>
      <c r="E87" s="2">
        <v>63177</v>
      </c>
      <c r="F87" s="2">
        <v>8.1300000000000008</v>
      </c>
      <c r="G87" s="2">
        <v>38883</v>
      </c>
      <c r="H87" s="47">
        <f t="shared" si="4"/>
        <v>1.592351646960128E-2</v>
      </c>
      <c r="I87">
        <f t="shared" si="5"/>
        <v>5136.2901000000011</v>
      </c>
      <c r="J87" t="str">
        <f>_xlfn.XLOOKUP(A87, 'Campaign Metadata'!$B$2:$B$5, 'Campaign Metadata'!$A$2:$A$5, "No Campaign", -1)</f>
        <v>CybertruckLaunch</v>
      </c>
    </row>
    <row r="88" spans="1:10" ht="15.75" customHeight="1" x14ac:dyDescent="0.25">
      <c r="A88" s="4">
        <v>45516</v>
      </c>
      <c r="B88" s="2" t="s">
        <v>26</v>
      </c>
      <c r="C88" s="2">
        <v>1210</v>
      </c>
      <c r="D88" s="2">
        <v>178</v>
      </c>
      <c r="E88" s="2">
        <v>102042</v>
      </c>
      <c r="F88" s="2">
        <v>5.42</v>
      </c>
      <c r="G88" s="2">
        <v>6915</v>
      </c>
      <c r="H88" s="47">
        <f t="shared" si="4"/>
        <v>1.011348268360087E-2</v>
      </c>
      <c r="I88">
        <f t="shared" si="5"/>
        <v>5530.6763999999994</v>
      </c>
      <c r="J88" t="str">
        <f>_xlfn.XLOOKUP(A88, 'Campaign Metadata'!$B$2:$B$5, 'Campaign Metadata'!$A$2:$A$5, "No Campaign", -1)</f>
        <v>CybertruckLaunch</v>
      </c>
    </row>
    <row r="89" spans="1:10" ht="15.75" customHeight="1" x14ac:dyDescent="0.25">
      <c r="A89" s="4">
        <v>45453</v>
      </c>
      <c r="B89" s="2" t="s">
        <v>26</v>
      </c>
      <c r="C89" s="2">
        <v>1197</v>
      </c>
      <c r="D89" s="2">
        <v>203</v>
      </c>
      <c r="E89" s="2">
        <v>413878</v>
      </c>
      <c r="F89" s="2">
        <v>3.16</v>
      </c>
      <c r="G89" s="2">
        <v>21205</v>
      </c>
      <c r="H89" s="47">
        <f t="shared" si="4"/>
        <v>2.4016739232334168E-3</v>
      </c>
      <c r="I89">
        <f t="shared" si="5"/>
        <v>13078.544800000001</v>
      </c>
      <c r="J89" t="str">
        <f>_xlfn.XLOOKUP(A89, 'Campaign Metadata'!$B$2:$B$5, 'Campaign Metadata'!$A$2:$A$5, "No Campaign", -1)</f>
        <v>No Campaign</v>
      </c>
    </row>
    <row r="90" spans="1:10" ht="15.75" customHeight="1" x14ac:dyDescent="0.25">
      <c r="A90" s="4">
        <v>45677</v>
      </c>
      <c r="B90" s="2" t="s">
        <v>26</v>
      </c>
      <c r="C90" s="2">
        <v>1166</v>
      </c>
      <c r="D90" s="2">
        <v>442</v>
      </c>
      <c r="E90" s="2">
        <v>336949</v>
      </c>
      <c r="F90" s="2">
        <v>4.68</v>
      </c>
      <c r="G90" s="2">
        <v>7705</v>
      </c>
      <c r="H90" s="47">
        <f t="shared" si="4"/>
        <v>2.1486931256659019E-3</v>
      </c>
      <c r="I90">
        <f t="shared" si="5"/>
        <v>15769.213199999998</v>
      </c>
      <c r="J90" t="str">
        <f>_xlfn.XLOOKUP(A90, 'Campaign Metadata'!$B$2:$B$5, 'Campaign Metadata'!$A$2:$A$5, "No Campaign", -1)</f>
        <v>FSDUpdate</v>
      </c>
    </row>
    <row r="91" spans="1:10" ht="15.75" customHeight="1" x14ac:dyDescent="0.25">
      <c r="A91" s="4">
        <v>45691</v>
      </c>
      <c r="B91" s="2" t="s">
        <v>42</v>
      </c>
      <c r="C91" s="2">
        <v>1159</v>
      </c>
      <c r="D91" s="2">
        <v>411</v>
      </c>
      <c r="E91" s="2">
        <v>135987</v>
      </c>
      <c r="F91" s="2">
        <v>8.6999999999999993</v>
      </c>
      <c r="G91" s="2">
        <v>40323</v>
      </c>
      <c r="H91" s="47">
        <f t="shared" si="4"/>
        <v>5.5005257855530306E-3</v>
      </c>
      <c r="I91">
        <f t="shared" si="5"/>
        <v>11830.868999999999</v>
      </c>
      <c r="J91" t="str">
        <f>_xlfn.XLOOKUP(A91, 'Campaign Metadata'!$B$2:$B$5, 'Campaign Metadata'!$A$2:$A$5, "No Campaign", -1)</f>
        <v>FSDUpdate</v>
      </c>
    </row>
    <row r="92" spans="1:10" ht="15.75" customHeight="1" x14ac:dyDescent="0.25">
      <c r="A92" s="4">
        <v>45649</v>
      </c>
      <c r="B92" s="2" t="s">
        <v>42</v>
      </c>
      <c r="C92" s="2">
        <v>1155</v>
      </c>
      <c r="D92" s="2">
        <v>425</v>
      </c>
      <c r="E92" s="2">
        <v>93347</v>
      </c>
      <c r="F92" s="2">
        <v>2.02</v>
      </c>
      <c r="G92" s="2">
        <v>47502</v>
      </c>
      <c r="H92" s="47">
        <f t="shared" si="4"/>
        <v>7.8202834584935772E-3</v>
      </c>
      <c r="I92">
        <f t="shared" si="5"/>
        <v>1885.6093999999998</v>
      </c>
      <c r="J92" t="str">
        <f>_xlfn.XLOOKUP(A92, 'Campaign Metadata'!$B$2:$B$5, 'Campaign Metadata'!$A$2:$A$5, "No Campaign", -1)</f>
        <v>ModelYCampaign</v>
      </c>
    </row>
    <row r="93" spans="1:10" ht="15.75" customHeight="1" x14ac:dyDescent="0.25">
      <c r="A93" s="4">
        <v>45768</v>
      </c>
      <c r="B93" s="2" t="s">
        <v>13</v>
      </c>
      <c r="C93" s="2">
        <v>1147</v>
      </c>
      <c r="D93" s="2">
        <v>388</v>
      </c>
      <c r="E93" s="2">
        <v>333851</v>
      </c>
      <c r="F93" s="2">
        <v>2.44</v>
      </c>
      <c r="G93" s="2">
        <v>8471</v>
      </c>
      <c r="H93" s="47">
        <f t="shared" si="4"/>
        <v>2.2734693021737242E-3</v>
      </c>
      <c r="I93">
        <f t="shared" si="5"/>
        <v>8145.9643999999989</v>
      </c>
      <c r="J93" t="str">
        <f>_xlfn.XLOOKUP(A93, 'Campaign Metadata'!$B$2:$B$5, 'Campaign Metadata'!$A$2:$A$5, "No Campaign", -1)</f>
        <v>SustainabilityDrive</v>
      </c>
    </row>
    <row r="94" spans="1:10" ht="15.75" customHeight="1" x14ac:dyDescent="0.25">
      <c r="A94" s="4">
        <v>45705</v>
      </c>
      <c r="B94" s="2" t="s">
        <v>32</v>
      </c>
      <c r="C94" s="2">
        <v>1138</v>
      </c>
      <c r="D94" s="2">
        <v>173</v>
      </c>
      <c r="E94" s="2">
        <v>453243</v>
      </c>
      <c r="F94" s="2">
        <v>2.86</v>
      </c>
      <c r="G94" s="2">
        <v>44097</v>
      </c>
      <c r="H94" s="47">
        <f t="shared" si="4"/>
        <v>2.1291007252180398E-3</v>
      </c>
      <c r="I94">
        <f t="shared" si="5"/>
        <v>12962.7498</v>
      </c>
      <c r="J94" t="str">
        <f>_xlfn.XLOOKUP(A94, 'Campaign Metadata'!$B$2:$B$5, 'Campaign Metadata'!$A$2:$A$5, "No Campaign", -1)</f>
        <v>FSDUpdate</v>
      </c>
    </row>
    <row r="95" spans="1:10" ht="15.75" customHeight="1" x14ac:dyDescent="0.25">
      <c r="A95" s="4">
        <v>45649</v>
      </c>
      <c r="B95" s="2" t="s">
        <v>13</v>
      </c>
      <c r="C95" s="2">
        <v>1137</v>
      </c>
      <c r="D95" s="2">
        <v>226</v>
      </c>
      <c r="E95" s="2">
        <v>81119</v>
      </c>
      <c r="F95" s="2">
        <v>7.74</v>
      </c>
      <c r="G95" s="2">
        <v>35359</v>
      </c>
      <c r="H95" s="47">
        <f t="shared" si="4"/>
        <v>1.1230414576116569E-2</v>
      </c>
      <c r="I95">
        <f t="shared" si="5"/>
        <v>6278.6106</v>
      </c>
      <c r="J95" t="str">
        <f>_xlfn.XLOOKUP(A95, 'Campaign Metadata'!$B$2:$B$5, 'Campaign Metadata'!$A$2:$A$5, "No Campaign", -1)</f>
        <v>ModelYCampaign</v>
      </c>
    </row>
    <row r="96" spans="1:10" ht="15.75" customHeight="1" x14ac:dyDescent="0.25">
      <c r="A96" s="4">
        <v>45446</v>
      </c>
      <c r="B96" s="2" t="s">
        <v>32</v>
      </c>
      <c r="C96" s="2">
        <v>1135</v>
      </c>
      <c r="D96" s="2">
        <v>88</v>
      </c>
      <c r="E96" s="2">
        <v>344084</v>
      </c>
      <c r="F96" s="2">
        <v>8.06</v>
      </c>
      <c r="G96" s="2">
        <v>5904</v>
      </c>
      <c r="H96" s="47">
        <f t="shared" si="4"/>
        <v>3.0428616268120576E-3</v>
      </c>
      <c r="I96">
        <f t="shared" si="5"/>
        <v>27733.170400000003</v>
      </c>
      <c r="J96" t="str">
        <f>_xlfn.XLOOKUP(A96, 'Campaign Metadata'!$B$2:$B$5, 'Campaign Metadata'!$A$2:$A$5, "No Campaign", -1)</f>
        <v>No Campaign</v>
      </c>
    </row>
    <row r="97" spans="1:10" ht="15.75" customHeight="1" x14ac:dyDescent="0.25">
      <c r="A97" s="4">
        <v>45733</v>
      </c>
      <c r="B97" s="2" t="s">
        <v>32</v>
      </c>
      <c r="C97" s="2">
        <v>1102</v>
      </c>
      <c r="D97" s="2">
        <v>422</v>
      </c>
      <c r="E97" s="2">
        <v>410330</v>
      </c>
      <c r="F97" s="2">
        <v>7.74</v>
      </c>
      <c r="G97" s="2">
        <v>9480</v>
      </c>
      <c r="H97" s="47">
        <f t="shared" si="4"/>
        <v>1.6572027392586454E-3</v>
      </c>
      <c r="I97">
        <f t="shared" si="5"/>
        <v>31759.541999999998</v>
      </c>
      <c r="J97" t="str">
        <f>_xlfn.XLOOKUP(A97, 'Campaign Metadata'!$B$2:$B$5, 'Campaign Metadata'!$A$2:$A$5, "No Campaign", -1)</f>
        <v>SustainabilityDrive</v>
      </c>
    </row>
    <row r="98" spans="1:10" ht="15.75" customHeight="1" x14ac:dyDescent="0.25">
      <c r="A98" s="4">
        <v>45726</v>
      </c>
      <c r="B98" s="2" t="s">
        <v>42</v>
      </c>
      <c r="C98" s="2">
        <v>1098</v>
      </c>
      <c r="D98" s="2">
        <v>190</v>
      </c>
      <c r="E98" s="2">
        <v>340842</v>
      </c>
      <c r="F98" s="2">
        <v>9.39</v>
      </c>
      <c r="G98" s="2">
        <v>21539</v>
      </c>
      <c r="H98" s="47">
        <f t="shared" ref="H98:H129" si="6">(C98-D98)/E98</f>
        <v>2.6639909400836752E-3</v>
      </c>
      <c r="I98">
        <f t="shared" ref="I98:I129" si="7">E98*(F98/100)</f>
        <v>32005.063800000004</v>
      </c>
      <c r="J98" t="str">
        <f>_xlfn.XLOOKUP(A98, 'Campaign Metadata'!$B$2:$B$5, 'Campaign Metadata'!$A$2:$A$5, "No Campaign", -1)</f>
        <v>SustainabilityDrive</v>
      </c>
    </row>
    <row r="99" spans="1:10" ht="15.75" customHeight="1" x14ac:dyDescent="0.25">
      <c r="A99" s="4">
        <v>45649</v>
      </c>
      <c r="B99" s="2" t="s">
        <v>32</v>
      </c>
      <c r="C99" s="2">
        <v>1092</v>
      </c>
      <c r="D99" s="2">
        <v>408</v>
      </c>
      <c r="E99" s="2">
        <v>280795</v>
      </c>
      <c r="F99" s="2">
        <v>8.44</v>
      </c>
      <c r="G99" s="2">
        <v>4683</v>
      </c>
      <c r="H99" s="47">
        <f t="shared" si="6"/>
        <v>2.4359408109118751E-3</v>
      </c>
      <c r="I99">
        <f t="shared" si="7"/>
        <v>23699.097999999998</v>
      </c>
      <c r="J99" t="str">
        <f>_xlfn.XLOOKUP(A99, 'Campaign Metadata'!$B$2:$B$5, 'Campaign Metadata'!$A$2:$A$5, "No Campaign", -1)</f>
        <v>ModelYCampaign</v>
      </c>
    </row>
    <row r="100" spans="1:10" ht="15.75" customHeight="1" x14ac:dyDescent="0.25">
      <c r="A100" s="4">
        <v>45523</v>
      </c>
      <c r="B100" s="2" t="s">
        <v>42</v>
      </c>
      <c r="C100" s="2">
        <v>1078</v>
      </c>
      <c r="D100" s="2">
        <v>20</v>
      </c>
      <c r="E100" s="2">
        <v>183924</v>
      </c>
      <c r="F100" s="2">
        <v>8.84</v>
      </c>
      <c r="G100" s="2">
        <v>14203</v>
      </c>
      <c r="H100" s="47">
        <f t="shared" si="6"/>
        <v>5.7523759813836147E-3</v>
      </c>
      <c r="I100">
        <f t="shared" si="7"/>
        <v>16258.881599999999</v>
      </c>
      <c r="J100" t="str">
        <f>_xlfn.XLOOKUP(A100, 'Campaign Metadata'!$B$2:$B$5, 'Campaign Metadata'!$A$2:$A$5, "No Campaign", -1)</f>
        <v>CybertruckLaunch</v>
      </c>
    </row>
    <row r="101" spans="1:10" ht="15.75" customHeight="1" x14ac:dyDescent="0.25">
      <c r="A101" s="4">
        <v>45733</v>
      </c>
      <c r="B101" s="2" t="s">
        <v>13</v>
      </c>
      <c r="C101" s="2">
        <v>1077</v>
      </c>
      <c r="D101" s="2">
        <v>216</v>
      </c>
      <c r="E101" s="2">
        <v>12447</v>
      </c>
      <c r="F101" s="2">
        <v>1.8</v>
      </c>
      <c r="G101" s="2">
        <v>14068</v>
      </c>
      <c r="H101" s="47">
        <f t="shared" si="6"/>
        <v>6.9173294769824048E-2</v>
      </c>
      <c r="I101">
        <f t="shared" si="7"/>
        <v>224.04600000000002</v>
      </c>
      <c r="J101" t="str">
        <f>_xlfn.XLOOKUP(A101, 'Campaign Metadata'!$B$2:$B$5, 'Campaign Metadata'!$A$2:$A$5, "No Campaign", -1)</f>
        <v>SustainabilityDrive</v>
      </c>
    </row>
    <row r="102" spans="1:10" ht="15.75" customHeight="1" x14ac:dyDescent="0.25">
      <c r="A102" s="4">
        <v>45607</v>
      </c>
      <c r="B102" s="2" t="s">
        <v>32</v>
      </c>
      <c r="C102" s="2">
        <v>1075</v>
      </c>
      <c r="D102" s="2">
        <v>173</v>
      </c>
      <c r="E102" s="2">
        <v>51395</v>
      </c>
      <c r="F102" s="2">
        <v>4.66</v>
      </c>
      <c r="G102" s="2">
        <v>47812</v>
      </c>
      <c r="H102" s="47">
        <f t="shared" si="6"/>
        <v>1.7550345364335054E-2</v>
      </c>
      <c r="I102">
        <f t="shared" si="7"/>
        <v>2395.0070000000001</v>
      </c>
      <c r="J102" t="str">
        <f>_xlfn.XLOOKUP(A102, 'Campaign Metadata'!$B$2:$B$5, 'Campaign Metadata'!$A$2:$A$5, "No Campaign", -1)</f>
        <v>ModelYCampaign</v>
      </c>
    </row>
    <row r="103" spans="1:10" ht="15.75" customHeight="1" x14ac:dyDescent="0.25">
      <c r="A103" s="4">
        <v>45712</v>
      </c>
      <c r="B103" s="2" t="s">
        <v>26</v>
      </c>
      <c r="C103" s="2">
        <v>1063</v>
      </c>
      <c r="D103" s="2">
        <v>47</v>
      </c>
      <c r="E103" s="2">
        <v>464239</v>
      </c>
      <c r="F103" s="2">
        <v>6.58</v>
      </c>
      <c r="G103" s="2">
        <v>39031</v>
      </c>
      <c r="H103" s="47">
        <f t="shared" si="6"/>
        <v>2.1885278918832756E-3</v>
      </c>
      <c r="I103">
        <f t="shared" si="7"/>
        <v>30546.926199999998</v>
      </c>
      <c r="J103" t="str">
        <f>_xlfn.XLOOKUP(A103, 'Campaign Metadata'!$B$2:$B$5, 'Campaign Metadata'!$A$2:$A$5, "No Campaign", -1)</f>
        <v>FSDUpdate</v>
      </c>
    </row>
    <row r="104" spans="1:10" ht="15.75" customHeight="1" x14ac:dyDescent="0.25">
      <c r="A104" s="4">
        <v>45460</v>
      </c>
      <c r="B104" s="2" t="s">
        <v>32</v>
      </c>
      <c r="C104" s="2">
        <v>1048</v>
      </c>
      <c r="D104" s="2">
        <v>155</v>
      </c>
      <c r="E104" s="2">
        <v>456946</v>
      </c>
      <c r="F104" s="2">
        <v>2.46</v>
      </c>
      <c r="G104" s="2">
        <v>11329</v>
      </c>
      <c r="H104" s="47">
        <f t="shared" si="6"/>
        <v>1.9542790614208243E-3</v>
      </c>
      <c r="I104">
        <f t="shared" si="7"/>
        <v>11240.8716</v>
      </c>
      <c r="J104" t="str">
        <f>_xlfn.XLOOKUP(A104, 'Campaign Metadata'!$B$2:$B$5, 'Campaign Metadata'!$A$2:$A$5, "No Campaign", -1)</f>
        <v>CybertruckLaunch</v>
      </c>
    </row>
    <row r="105" spans="1:10" ht="15.75" customHeight="1" x14ac:dyDescent="0.25">
      <c r="A105" s="4">
        <v>45677</v>
      </c>
      <c r="B105" s="2" t="s">
        <v>13</v>
      </c>
      <c r="C105" s="2">
        <v>1040</v>
      </c>
      <c r="D105" s="2">
        <v>149</v>
      </c>
      <c r="E105" s="2">
        <v>124404</v>
      </c>
      <c r="F105" s="2">
        <v>5.23</v>
      </c>
      <c r="G105" s="2">
        <v>45380</v>
      </c>
      <c r="H105" s="47">
        <f t="shared" si="6"/>
        <v>7.1621491270377159E-3</v>
      </c>
      <c r="I105">
        <f t="shared" si="7"/>
        <v>6506.329200000001</v>
      </c>
      <c r="J105" t="str">
        <f>_xlfn.XLOOKUP(A105, 'Campaign Metadata'!$B$2:$B$5, 'Campaign Metadata'!$A$2:$A$5, "No Campaign", -1)</f>
        <v>FSDUpdate</v>
      </c>
    </row>
    <row r="106" spans="1:10" ht="15.75" customHeight="1" x14ac:dyDescent="0.25">
      <c r="A106" s="4">
        <v>45782</v>
      </c>
      <c r="B106" s="2" t="s">
        <v>26</v>
      </c>
      <c r="C106" s="2">
        <v>1035</v>
      </c>
      <c r="D106" s="2">
        <v>171</v>
      </c>
      <c r="E106" s="2">
        <v>148477</v>
      </c>
      <c r="F106" s="2">
        <v>5.21</v>
      </c>
      <c r="G106" s="2">
        <v>7541</v>
      </c>
      <c r="H106" s="47">
        <f t="shared" si="6"/>
        <v>5.8190830903102836E-3</v>
      </c>
      <c r="I106">
        <f t="shared" si="7"/>
        <v>7735.6517000000003</v>
      </c>
      <c r="J106" t="str">
        <f>_xlfn.XLOOKUP(A106, 'Campaign Metadata'!$B$2:$B$5, 'Campaign Metadata'!$A$2:$A$5, "No Campaign", -1)</f>
        <v>SustainabilityDrive</v>
      </c>
    </row>
    <row r="107" spans="1:10" ht="15.75" customHeight="1" x14ac:dyDescent="0.25">
      <c r="A107" s="4">
        <v>45747</v>
      </c>
      <c r="B107" s="2" t="s">
        <v>32</v>
      </c>
      <c r="C107" s="2">
        <v>1033</v>
      </c>
      <c r="D107" s="2">
        <v>392</v>
      </c>
      <c r="E107" s="2">
        <v>282780</v>
      </c>
      <c r="F107" s="2">
        <v>6.27</v>
      </c>
      <c r="G107" s="2">
        <v>23140</v>
      </c>
      <c r="H107" s="47">
        <f t="shared" si="6"/>
        <v>2.2667798288422093E-3</v>
      </c>
      <c r="I107">
        <f t="shared" si="7"/>
        <v>17730.305999999997</v>
      </c>
      <c r="J107" t="str">
        <f>_xlfn.XLOOKUP(A107, 'Campaign Metadata'!$B$2:$B$5, 'Campaign Metadata'!$A$2:$A$5, "No Campaign", -1)</f>
        <v>SustainabilityDrive</v>
      </c>
    </row>
    <row r="108" spans="1:10" ht="15.75" customHeight="1" x14ac:dyDescent="0.25">
      <c r="A108" s="4">
        <v>45663</v>
      </c>
      <c r="B108" s="2" t="s">
        <v>32</v>
      </c>
      <c r="C108" s="2">
        <v>1013</v>
      </c>
      <c r="D108" s="2">
        <v>110</v>
      </c>
      <c r="E108" s="2">
        <v>466382</v>
      </c>
      <c r="F108" s="2">
        <v>5.3</v>
      </c>
      <c r="G108" s="2">
        <v>37132</v>
      </c>
      <c r="H108" s="47">
        <f t="shared" si="6"/>
        <v>1.9361810704529763E-3</v>
      </c>
      <c r="I108">
        <f t="shared" si="7"/>
        <v>24718.245999999999</v>
      </c>
      <c r="J108" t="str">
        <f>_xlfn.XLOOKUP(A108, 'Campaign Metadata'!$B$2:$B$5, 'Campaign Metadata'!$A$2:$A$5, "No Campaign", -1)</f>
        <v>FSDUpdate</v>
      </c>
    </row>
    <row r="109" spans="1:10" ht="15.75" customHeight="1" x14ac:dyDescent="0.25">
      <c r="A109" s="4">
        <v>45642</v>
      </c>
      <c r="B109" s="2" t="s">
        <v>26</v>
      </c>
      <c r="C109" s="2">
        <v>1004</v>
      </c>
      <c r="D109" s="2">
        <v>128</v>
      </c>
      <c r="E109" s="2">
        <v>488901</v>
      </c>
      <c r="F109" s="2">
        <v>8.09</v>
      </c>
      <c r="G109" s="2">
        <v>49558</v>
      </c>
      <c r="H109" s="47">
        <f t="shared" si="6"/>
        <v>1.7917737946946315E-3</v>
      </c>
      <c r="I109">
        <f t="shared" si="7"/>
        <v>39552.090900000003</v>
      </c>
      <c r="J109" t="str">
        <f>_xlfn.XLOOKUP(A109, 'Campaign Metadata'!$B$2:$B$5, 'Campaign Metadata'!$A$2:$A$5, "No Campaign", -1)</f>
        <v>ModelYCampaign</v>
      </c>
    </row>
    <row r="110" spans="1:10" ht="15.75" customHeight="1" x14ac:dyDescent="0.25">
      <c r="A110" s="4">
        <v>45747</v>
      </c>
      <c r="B110" s="2" t="s">
        <v>42</v>
      </c>
      <c r="C110" s="2">
        <v>988</v>
      </c>
      <c r="D110" s="2">
        <v>474</v>
      </c>
      <c r="E110" s="2">
        <v>370070</v>
      </c>
      <c r="F110" s="2">
        <v>9.4600000000000009</v>
      </c>
      <c r="G110" s="2">
        <v>23461</v>
      </c>
      <c r="H110" s="47">
        <f t="shared" si="6"/>
        <v>1.3889264193260734E-3</v>
      </c>
      <c r="I110">
        <f t="shared" si="7"/>
        <v>35008.622000000003</v>
      </c>
      <c r="J110" t="str">
        <f>_xlfn.XLOOKUP(A110, 'Campaign Metadata'!$B$2:$B$5, 'Campaign Metadata'!$A$2:$A$5, "No Campaign", -1)</f>
        <v>SustainabilityDrive</v>
      </c>
    </row>
    <row r="111" spans="1:10" ht="15.75" customHeight="1" x14ac:dyDescent="0.25">
      <c r="A111" s="4">
        <v>45481</v>
      </c>
      <c r="B111" s="2" t="s">
        <v>13</v>
      </c>
      <c r="C111" s="2">
        <v>987</v>
      </c>
      <c r="D111" s="2">
        <v>440</v>
      </c>
      <c r="E111" s="2">
        <v>389810</v>
      </c>
      <c r="F111" s="2">
        <v>4.66</v>
      </c>
      <c r="G111" s="2">
        <v>2932</v>
      </c>
      <c r="H111" s="47">
        <f t="shared" si="6"/>
        <v>1.40324773607655E-3</v>
      </c>
      <c r="I111">
        <f t="shared" si="7"/>
        <v>18165.146000000001</v>
      </c>
      <c r="J111" t="str">
        <f>_xlfn.XLOOKUP(A111, 'Campaign Metadata'!$B$2:$B$5, 'Campaign Metadata'!$A$2:$A$5, "No Campaign", -1)</f>
        <v>CybertruckLaunch</v>
      </c>
    </row>
    <row r="112" spans="1:10" ht="15.75" customHeight="1" x14ac:dyDescent="0.25">
      <c r="A112" s="4">
        <v>45768</v>
      </c>
      <c r="B112" s="2" t="s">
        <v>32</v>
      </c>
      <c r="C112" s="2">
        <v>961</v>
      </c>
      <c r="D112" s="2">
        <v>358</v>
      </c>
      <c r="E112" s="2">
        <v>62942</v>
      </c>
      <c r="F112" s="2">
        <v>6.8</v>
      </c>
      <c r="G112" s="2">
        <v>18693</v>
      </c>
      <c r="H112" s="47">
        <f t="shared" si="6"/>
        <v>9.5802484827301332E-3</v>
      </c>
      <c r="I112">
        <f t="shared" si="7"/>
        <v>4280.0560000000005</v>
      </c>
      <c r="J112" t="str">
        <f>_xlfn.XLOOKUP(A112, 'Campaign Metadata'!$B$2:$B$5, 'Campaign Metadata'!$A$2:$A$5, "No Campaign", -1)</f>
        <v>SustainabilityDrive</v>
      </c>
    </row>
    <row r="113" spans="1:10" ht="15.75" customHeight="1" x14ac:dyDescent="0.25">
      <c r="A113" s="4">
        <v>45600</v>
      </c>
      <c r="B113" s="2" t="s">
        <v>42</v>
      </c>
      <c r="C113" s="2">
        <v>947</v>
      </c>
      <c r="D113" s="2">
        <v>407</v>
      </c>
      <c r="E113" s="2">
        <v>319186</v>
      </c>
      <c r="F113" s="2">
        <v>3.32</v>
      </c>
      <c r="G113" s="2">
        <v>4996</v>
      </c>
      <c r="H113" s="47">
        <f t="shared" si="6"/>
        <v>1.6918035252172713E-3</v>
      </c>
      <c r="I113">
        <f t="shared" si="7"/>
        <v>10596.975200000001</v>
      </c>
      <c r="J113" t="str">
        <f>_xlfn.XLOOKUP(A113, 'Campaign Metadata'!$B$2:$B$5, 'Campaign Metadata'!$A$2:$A$5, "No Campaign", -1)</f>
        <v>ModelYCampaign</v>
      </c>
    </row>
    <row r="114" spans="1:10" ht="15.75" customHeight="1" x14ac:dyDescent="0.25">
      <c r="A114" s="4">
        <v>45719</v>
      </c>
      <c r="B114" s="2" t="s">
        <v>13</v>
      </c>
      <c r="C114" s="2">
        <v>946</v>
      </c>
      <c r="D114" s="2">
        <v>47</v>
      </c>
      <c r="E114" s="2">
        <v>466575</v>
      </c>
      <c r="F114" s="2">
        <v>8.33</v>
      </c>
      <c r="G114" s="2">
        <v>10002</v>
      </c>
      <c r="H114" s="47">
        <f t="shared" si="6"/>
        <v>1.9268070513850934E-3</v>
      </c>
      <c r="I114">
        <f t="shared" si="7"/>
        <v>38865.697500000002</v>
      </c>
      <c r="J114" t="str">
        <f>_xlfn.XLOOKUP(A114, 'Campaign Metadata'!$B$2:$B$5, 'Campaign Metadata'!$A$2:$A$5, "No Campaign", -1)</f>
        <v>SustainabilityDrive</v>
      </c>
    </row>
    <row r="115" spans="1:10" ht="15.75" customHeight="1" x14ac:dyDescent="0.25">
      <c r="A115" s="4">
        <v>45691</v>
      </c>
      <c r="B115" s="2" t="s">
        <v>13</v>
      </c>
      <c r="C115" s="2">
        <v>927</v>
      </c>
      <c r="D115" s="2">
        <v>358</v>
      </c>
      <c r="E115" s="2">
        <v>177554</v>
      </c>
      <c r="F115" s="2">
        <v>6.95</v>
      </c>
      <c r="G115" s="2">
        <v>48270</v>
      </c>
      <c r="H115" s="47">
        <f t="shared" si="6"/>
        <v>3.2046588643454949E-3</v>
      </c>
      <c r="I115">
        <f t="shared" si="7"/>
        <v>12340.003000000001</v>
      </c>
      <c r="J115" t="str">
        <f>_xlfn.XLOOKUP(A115, 'Campaign Metadata'!$B$2:$B$5, 'Campaign Metadata'!$A$2:$A$5, "No Campaign", -1)</f>
        <v>FSDUpdate</v>
      </c>
    </row>
    <row r="116" spans="1:10" ht="15.75" customHeight="1" x14ac:dyDescent="0.25">
      <c r="A116" s="4">
        <v>45467</v>
      </c>
      <c r="B116" s="2" t="s">
        <v>32</v>
      </c>
      <c r="C116" s="2">
        <v>911</v>
      </c>
      <c r="D116" s="2">
        <v>282</v>
      </c>
      <c r="E116" s="2">
        <v>35664</v>
      </c>
      <c r="F116" s="2">
        <v>6.92</v>
      </c>
      <c r="G116" s="2">
        <v>18050</v>
      </c>
      <c r="H116" s="47">
        <f t="shared" si="6"/>
        <v>1.7636832660385824E-2</v>
      </c>
      <c r="I116">
        <f t="shared" si="7"/>
        <v>2467.9488000000001</v>
      </c>
      <c r="J116" t="str">
        <f>_xlfn.XLOOKUP(A116, 'Campaign Metadata'!$B$2:$B$5, 'Campaign Metadata'!$A$2:$A$5, "No Campaign", -1)</f>
        <v>CybertruckLaunch</v>
      </c>
    </row>
    <row r="117" spans="1:10" ht="15.75" customHeight="1" x14ac:dyDescent="0.25">
      <c r="A117" s="4">
        <v>45663</v>
      </c>
      <c r="B117" s="2" t="s">
        <v>26</v>
      </c>
      <c r="C117" s="2">
        <v>891</v>
      </c>
      <c r="D117" s="2">
        <v>45</v>
      </c>
      <c r="E117" s="2">
        <v>95410</v>
      </c>
      <c r="F117" s="2">
        <v>8.33</v>
      </c>
      <c r="G117" s="2">
        <v>15045</v>
      </c>
      <c r="H117" s="47">
        <f t="shared" si="6"/>
        <v>8.8669950738916262E-3</v>
      </c>
      <c r="I117">
        <f t="shared" si="7"/>
        <v>7947.6530000000002</v>
      </c>
      <c r="J117" t="str">
        <f>_xlfn.XLOOKUP(A117, 'Campaign Metadata'!$B$2:$B$5, 'Campaign Metadata'!$A$2:$A$5, "No Campaign", -1)</f>
        <v>FSDUpdate</v>
      </c>
    </row>
    <row r="118" spans="1:10" ht="15.75" customHeight="1" x14ac:dyDescent="0.25">
      <c r="A118" s="4">
        <v>45481</v>
      </c>
      <c r="B118" s="2" t="s">
        <v>26</v>
      </c>
      <c r="C118" s="2">
        <v>883</v>
      </c>
      <c r="D118" s="2">
        <v>369</v>
      </c>
      <c r="E118" s="2">
        <v>233694</v>
      </c>
      <c r="F118" s="2">
        <v>2.88</v>
      </c>
      <c r="G118" s="2">
        <v>15071</v>
      </c>
      <c r="H118" s="47">
        <f t="shared" si="6"/>
        <v>2.1994574101175039E-3</v>
      </c>
      <c r="I118">
        <f t="shared" si="7"/>
        <v>6730.3872000000001</v>
      </c>
      <c r="J118" t="str">
        <f>_xlfn.XLOOKUP(A118, 'Campaign Metadata'!$B$2:$B$5, 'Campaign Metadata'!$A$2:$A$5, "No Campaign", -1)</f>
        <v>CybertruckLaunch</v>
      </c>
    </row>
    <row r="119" spans="1:10" ht="15.75" customHeight="1" x14ac:dyDescent="0.25">
      <c r="A119" s="4">
        <v>45712</v>
      </c>
      <c r="B119" s="2" t="s">
        <v>13</v>
      </c>
      <c r="C119" s="2">
        <v>861</v>
      </c>
      <c r="D119" s="2">
        <v>153</v>
      </c>
      <c r="E119" s="2">
        <v>317007</v>
      </c>
      <c r="F119" s="2">
        <v>3.85</v>
      </c>
      <c r="G119" s="2">
        <v>8718</v>
      </c>
      <c r="H119" s="47">
        <f t="shared" si="6"/>
        <v>2.2333891680625349E-3</v>
      </c>
      <c r="I119">
        <f t="shared" si="7"/>
        <v>12204.7695</v>
      </c>
      <c r="J119" t="str">
        <f>_xlfn.XLOOKUP(A119, 'Campaign Metadata'!$B$2:$B$5, 'Campaign Metadata'!$A$2:$A$5, "No Campaign", -1)</f>
        <v>FSDUpdate</v>
      </c>
    </row>
    <row r="120" spans="1:10" ht="15.75" customHeight="1" x14ac:dyDescent="0.25">
      <c r="A120" s="4">
        <v>45593</v>
      </c>
      <c r="B120" s="2" t="s">
        <v>42</v>
      </c>
      <c r="C120" s="2">
        <v>859</v>
      </c>
      <c r="D120" s="2">
        <v>473</v>
      </c>
      <c r="E120" s="2">
        <v>209987</v>
      </c>
      <c r="F120" s="2">
        <v>4.46</v>
      </c>
      <c r="G120" s="2">
        <v>30214</v>
      </c>
      <c r="H120" s="47">
        <f t="shared" si="6"/>
        <v>1.8382090319876945E-3</v>
      </c>
      <c r="I120">
        <f t="shared" si="7"/>
        <v>9365.4202000000005</v>
      </c>
      <c r="J120" t="str">
        <f>_xlfn.XLOOKUP(A120, 'Campaign Metadata'!$B$2:$B$5, 'Campaign Metadata'!$A$2:$A$5, "No Campaign", -1)</f>
        <v>ModelYCampaign</v>
      </c>
    </row>
    <row r="121" spans="1:10" ht="15.75" customHeight="1" x14ac:dyDescent="0.25">
      <c r="A121" s="4">
        <v>45789</v>
      </c>
      <c r="B121" s="2" t="s">
        <v>42</v>
      </c>
      <c r="C121" s="2">
        <v>837</v>
      </c>
      <c r="D121" s="2">
        <v>430</v>
      </c>
      <c r="E121" s="2">
        <v>364820</v>
      </c>
      <c r="F121" s="2">
        <v>4</v>
      </c>
      <c r="G121" s="2">
        <v>49400</v>
      </c>
      <c r="H121" s="47">
        <f t="shared" si="6"/>
        <v>1.1156186612576065E-3</v>
      </c>
      <c r="I121">
        <f t="shared" si="7"/>
        <v>14592.800000000001</v>
      </c>
      <c r="J121" t="str">
        <f>_xlfn.XLOOKUP(A121, 'Campaign Metadata'!$B$2:$B$5, 'Campaign Metadata'!$A$2:$A$5, "No Campaign", -1)</f>
        <v>SustainabilityDrive</v>
      </c>
    </row>
    <row r="122" spans="1:10" ht="15.75" customHeight="1" x14ac:dyDescent="0.25">
      <c r="A122" s="4">
        <v>45775</v>
      </c>
      <c r="B122" s="2" t="s">
        <v>42</v>
      </c>
      <c r="C122" s="2">
        <v>833</v>
      </c>
      <c r="D122" s="2">
        <v>380</v>
      </c>
      <c r="E122" s="2">
        <v>224830</v>
      </c>
      <c r="F122" s="2">
        <v>3.86</v>
      </c>
      <c r="G122" s="2">
        <v>3582</v>
      </c>
      <c r="H122" s="47">
        <f t="shared" si="6"/>
        <v>2.014855668727483E-3</v>
      </c>
      <c r="I122">
        <f t="shared" si="7"/>
        <v>8678.4379999999983</v>
      </c>
      <c r="J122" t="str">
        <f>_xlfn.XLOOKUP(A122, 'Campaign Metadata'!$B$2:$B$5, 'Campaign Metadata'!$A$2:$A$5, "No Campaign", -1)</f>
        <v>SustainabilityDrive</v>
      </c>
    </row>
    <row r="123" spans="1:10" ht="15.75" customHeight="1" x14ac:dyDescent="0.25">
      <c r="A123" s="4">
        <v>45509</v>
      </c>
      <c r="B123" s="2" t="s">
        <v>13</v>
      </c>
      <c r="C123" s="2">
        <v>826</v>
      </c>
      <c r="D123" s="2">
        <v>498</v>
      </c>
      <c r="E123" s="2">
        <v>449994</v>
      </c>
      <c r="F123" s="2">
        <v>9.43</v>
      </c>
      <c r="G123" s="2">
        <v>12384</v>
      </c>
      <c r="H123" s="47">
        <f t="shared" si="6"/>
        <v>7.2889860753698943E-4</v>
      </c>
      <c r="I123">
        <f t="shared" si="7"/>
        <v>42434.434199999996</v>
      </c>
      <c r="J123" t="str">
        <f>_xlfn.XLOOKUP(A123, 'Campaign Metadata'!$B$2:$B$5, 'Campaign Metadata'!$A$2:$A$5, "No Campaign", -1)</f>
        <v>CybertruckLaunch</v>
      </c>
    </row>
    <row r="124" spans="1:10" ht="15.75" customHeight="1" x14ac:dyDescent="0.25">
      <c r="A124" s="4">
        <v>45558</v>
      </c>
      <c r="B124" s="2" t="s">
        <v>32</v>
      </c>
      <c r="C124" s="2">
        <v>817</v>
      </c>
      <c r="D124" s="2">
        <v>151</v>
      </c>
      <c r="E124" s="2">
        <v>422625</v>
      </c>
      <c r="F124" s="2">
        <v>2.36</v>
      </c>
      <c r="G124" s="2">
        <v>1083</v>
      </c>
      <c r="H124" s="47">
        <f t="shared" si="6"/>
        <v>1.5758651286601596E-3</v>
      </c>
      <c r="I124">
        <f t="shared" si="7"/>
        <v>9973.9499999999989</v>
      </c>
      <c r="J124" t="str">
        <f>_xlfn.XLOOKUP(A124, 'Campaign Metadata'!$B$2:$B$5, 'Campaign Metadata'!$A$2:$A$5, "No Campaign", -1)</f>
        <v>CybertruckLaunch</v>
      </c>
    </row>
    <row r="125" spans="1:10" ht="15.75" customHeight="1" x14ac:dyDescent="0.25">
      <c r="A125" s="4">
        <v>45663</v>
      </c>
      <c r="B125" s="2" t="s">
        <v>42</v>
      </c>
      <c r="C125" s="2">
        <v>816</v>
      </c>
      <c r="D125" s="2">
        <v>196</v>
      </c>
      <c r="E125" s="2">
        <v>95728</v>
      </c>
      <c r="F125" s="2">
        <v>8.1999999999999993</v>
      </c>
      <c r="G125" s="2">
        <v>17951</v>
      </c>
      <c r="H125" s="47">
        <f t="shared" si="6"/>
        <v>6.4766839378238338E-3</v>
      </c>
      <c r="I125">
        <f t="shared" si="7"/>
        <v>7849.695999999999</v>
      </c>
      <c r="J125" t="str">
        <f>_xlfn.XLOOKUP(A125, 'Campaign Metadata'!$B$2:$B$5, 'Campaign Metadata'!$A$2:$A$5, "No Campaign", -1)</f>
        <v>FSDUpdate</v>
      </c>
    </row>
    <row r="126" spans="1:10" ht="15.75" customHeight="1" x14ac:dyDescent="0.25">
      <c r="A126" s="4">
        <v>45495</v>
      </c>
      <c r="B126" s="2" t="s">
        <v>26</v>
      </c>
      <c r="C126" s="2">
        <v>804</v>
      </c>
      <c r="D126" s="2">
        <v>487</v>
      </c>
      <c r="E126" s="2">
        <v>306564</v>
      </c>
      <c r="F126" s="2">
        <v>5.52</v>
      </c>
      <c r="G126" s="2">
        <v>26452</v>
      </c>
      <c r="H126" s="47">
        <f t="shared" si="6"/>
        <v>1.0340418313957282E-3</v>
      </c>
      <c r="I126">
        <f t="shared" si="7"/>
        <v>16922.3328</v>
      </c>
      <c r="J126" t="str">
        <f>_xlfn.XLOOKUP(A126, 'Campaign Metadata'!$B$2:$B$5, 'Campaign Metadata'!$A$2:$A$5, "No Campaign", -1)</f>
        <v>CybertruckLaunch</v>
      </c>
    </row>
    <row r="127" spans="1:10" ht="15.75" customHeight="1" x14ac:dyDescent="0.25">
      <c r="A127" s="4">
        <v>45551</v>
      </c>
      <c r="B127" s="2" t="s">
        <v>32</v>
      </c>
      <c r="C127" s="2">
        <v>778</v>
      </c>
      <c r="D127" s="2">
        <v>401</v>
      </c>
      <c r="E127" s="2">
        <v>50793</v>
      </c>
      <c r="F127" s="2">
        <v>3.4</v>
      </c>
      <c r="G127" s="2">
        <v>21939</v>
      </c>
      <c r="H127" s="47">
        <f t="shared" si="6"/>
        <v>7.4222825979957871E-3</v>
      </c>
      <c r="I127">
        <f t="shared" si="7"/>
        <v>1726.9620000000002</v>
      </c>
      <c r="J127" t="str">
        <f>_xlfn.XLOOKUP(A127, 'Campaign Metadata'!$B$2:$B$5, 'Campaign Metadata'!$A$2:$A$5, "No Campaign", -1)</f>
        <v>CybertruckLaunch</v>
      </c>
    </row>
    <row r="128" spans="1:10" ht="15.75" customHeight="1" x14ac:dyDescent="0.25">
      <c r="A128" s="4">
        <v>45775</v>
      </c>
      <c r="B128" s="2" t="s">
        <v>26</v>
      </c>
      <c r="C128" s="2">
        <v>777</v>
      </c>
      <c r="D128" s="2">
        <v>140</v>
      </c>
      <c r="E128" s="2">
        <v>11435</v>
      </c>
      <c r="F128" s="2">
        <v>1.6</v>
      </c>
      <c r="G128" s="2">
        <v>6832</v>
      </c>
      <c r="H128" s="47">
        <f t="shared" si="6"/>
        <v>5.5706165282028861E-2</v>
      </c>
      <c r="I128">
        <f t="shared" si="7"/>
        <v>182.96</v>
      </c>
      <c r="J128" t="str">
        <f>_xlfn.XLOOKUP(A128, 'Campaign Metadata'!$B$2:$B$5, 'Campaign Metadata'!$A$2:$A$5, "No Campaign", -1)</f>
        <v>SustainabilityDrive</v>
      </c>
    </row>
    <row r="129" spans="1:10" ht="15.75" customHeight="1" x14ac:dyDescent="0.25">
      <c r="A129" s="4">
        <v>45565</v>
      </c>
      <c r="B129" s="2" t="s">
        <v>13</v>
      </c>
      <c r="C129" s="2">
        <v>752</v>
      </c>
      <c r="D129" s="2">
        <v>153</v>
      </c>
      <c r="E129" s="2">
        <v>64906</v>
      </c>
      <c r="F129" s="2">
        <v>2.09</v>
      </c>
      <c r="G129" s="2">
        <v>12148</v>
      </c>
      <c r="H129" s="47">
        <f t="shared" si="6"/>
        <v>9.2287307798970819E-3</v>
      </c>
      <c r="I129">
        <f t="shared" si="7"/>
        <v>1356.5354</v>
      </c>
      <c r="J129" t="str">
        <f>_xlfn.XLOOKUP(A129, 'Campaign Metadata'!$B$2:$B$5, 'Campaign Metadata'!$A$2:$A$5, "No Campaign", -1)</f>
        <v>CybertruckLaunch</v>
      </c>
    </row>
    <row r="130" spans="1:10" ht="15.75" customHeight="1" x14ac:dyDescent="0.25">
      <c r="A130" s="4">
        <v>45544</v>
      </c>
      <c r="B130" s="2" t="s">
        <v>13</v>
      </c>
      <c r="C130" s="2">
        <v>751</v>
      </c>
      <c r="D130" s="2">
        <v>491</v>
      </c>
      <c r="E130" s="2">
        <v>434047</v>
      </c>
      <c r="F130" s="2">
        <v>9.24</v>
      </c>
      <c r="G130" s="2">
        <v>15476</v>
      </c>
      <c r="H130" s="47">
        <f t="shared" ref="H130:H161" si="8">(C130-D130)/E130</f>
        <v>5.990134708914012E-4</v>
      </c>
      <c r="I130">
        <f t="shared" ref="I130:I161" si="9">E130*(F130/100)</f>
        <v>40105.942799999997</v>
      </c>
      <c r="J130" t="str">
        <f>_xlfn.XLOOKUP(A130, 'Campaign Metadata'!$B$2:$B$5, 'Campaign Metadata'!$A$2:$A$5, "No Campaign", -1)</f>
        <v>CybertruckLaunch</v>
      </c>
    </row>
    <row r="131" spans="1:10" ht="15.75" customHeight="1" x14ac:dyDescent="0.25">
      <c r="A131" s="4">
        <v>45635</v>
      </c>
      <c r="B131" s="2" t="s">
        <v>26</v>
      </c>
      <c r="C131" s="2">
        <v>736</v>
      </c>
      <c r="D131" s="2">
        <v>163</v>
      </c>
      <c r="E131" s="2">
        <v>451894</v>
      </c>
      <c r="F131" s="2">
        <v>5.43</v>
      </c>
      <c r="G131" s="2">
        <v>46625</v>
      </c>
      <c r="H131" s="47">
        <f t="shared" si="8"/>
        <v>1.2679964770499277E-3</v>
      </c>
      <c r="I131">
        <f t="shared" si="9"/>
        <v>24537.844199999996</v>
      </c>
      <c r="J131" t="str">
        <f>_xlfn.XLOOKUP(A131, 'Campaign Metadata'!$B$2:$B$5, 'Campaign Metadata'!$A$2:$A$5, "No Campaign", -1)</f>
        <v>ModelYCampaign</v>
      </c>
    </row>
    <row r="132" spans="1:10" ht="15.75" customHeight="1" x14ac:dyDescent="0.25">
      <c r="A132" s="4">
        <v>45537</v>
      </c>
      <c r="B132" s="2" t="s">
        <v>26</v>
      </c>
      <c r="C132" s="2">
        <v>728</v>
      </c>
      <c r="D132" s="2">
        <v>395</v>
      </c>
      <c r="E132" s="2">
        <v>370971</v>
      </c>
      <c r="F132" s="2">
        <v>3.86</v>
      </c>
      <c r="G132" s="2">
        <v>12646</v>
      </c>
      <c r="H132" s="47">
        <f t="shared" si="8"/>
        <v>8.9764429025449434E-4</v>
      </c>
      <c r="I132">
        <f t="shared" si="9"/>
        <v>14319.480599999999</v>
      </c>
      <c r="J132" t="str">
        <f>_xlfn.XLOOKUP(A132, 'Campaign Metadata'!$B$2:$B$5, 'Campaign Metadata'!$A$2:$A$5, "No Campaign", -1)</f>
        <v>CybertruckLaunch</v>
      </c>
    </row>
    <row r="133" spans="1:10" ht="15.75" customHeight="1" x14ac:dyDescent="0.25">
      <c r="A133" s="4">
        <v>45488</v>
      </c>
      <c r="B133" s="2" t="s">
        <v>13</v>
      </c>
      <c r="C133" s="2">
        <v>704</v>
      </c>
      <c r="D133" s="2">
        <v>275</v>
      </c>
      <c r="E133" s="2">
        <v>226002</v>
      </c>
      <c r="F133" s="2">
        <v>8.56</v>
      </c>
      <c r="G133" s="2">
        <v>32393</v>
      </c>
      <c r="H133" s="47">
        <f t="shared" si="8"/>
        <v>1.8982132901478749E-3</v>
      </c>
      <c r="I133">
        <f t="shared" si="9"/>
        <v>19345.771200000003</v>
      </c>
      <c r="J133" t="str">
        <f>_xlfn.XLOOKUP(A133, 'Campaign Metadata'!$B$2:$B$5, 'Campaign Metadata'!$A$2:$A$5, "No Campaign", -1)</f>
        <v>CybertruckLaunch</v>
      </c>
    </row>
    <row r="134" spans="1:10" ht="15.75" customHeight="1" x14ac:dyDescent="0.25">
      <c r="A134" s="4">
        <v>45586</v>
      </c>
      <c r="B134" s="2" t="s">
        <v>32</v>
      </c>
      <c r="C134" s="2">
        <v>703</v>
      </c>
      <c r="D134" s="2">
        <v>441</v>
      </c>
      <c r="E134" s="2">
        <v>357089</v>
      </c>
      <c r="F134" s="2">
        <v>6.5</v>
      </c>
      <c r="G134" s="2">
        <v>32478</v>
      </c>
      <c r="H134" s="47">
        <f t="shared" si="8"/>
        <v>7.3371064356504961E-4</v>
      </c>
      <c r="I134">
        <f t="shared" si="9"/>
        <v>23210.785</v>
      </c>
      <c r="J134" t="str">
        <f>_xlfn.XLOOKUP(A134, 'Campaign Metadata'!$B$2:$B$5, 'Campaign Metadata'!$A$2:$A$5, "No Campaign", -1)</f>
        <v>ModelYCampaign</v>
      </c>
    </row>
    <row r="135" spans="1:10" ht="15.75" customHeight="1" x14ac:dyDescent="0.25">
      <c r="A135" s="4">
        <v>45586</v>
      </c>
      <c r="B135" s="2" t="s">
        <v>13</v>
      </c>
      <c r="C135" s="2">
        <v>697</v>
      </c>
      <c r="D135" s="2">
        <v>61</v>
      </c>
      <c r="E135" s="2">
        <v>258287</v>
      </c>
      <c r="F135" s="2">
        <v>8.25</v>
      </c>
      <c r="G135" s="2">
        <v>21208</v>
      </c>
      <c r="H135" s="47">
        <f t="shared" si="8"/>
        <v>2.4623771231227277E-3</v>
      </c>
      <c r="I135">
        <f t="shared" si="9"/>
        <v>21308.677500000002</v>
      </c>
      <c r="J135" t="str">
        <f>_xlfn.XLOOKUP(A135, 'Campaign Metadata'!$B$2:$B$5, 'Campaign Metadata'!$A$2:$A$5, "No Campaign", -1)</f>
        <v>ModelYCampaign</v>
      </c>
    </row>
    <row r="136" spans="1:10" ht="15.75" customHeight="1" x14ac:dyDescent="0.25">
      <c r="A136" s="4">
        <v>45677</v>
      </c>
      <c r="B136" s="2" t="s">
        <v>42</v>
      </c>
      <c r="C136" s="2">
        <v>663</v>
      </c>
      <c r="D136" s="2">
        <v>236</v>
      </c>
      <c r="E136" s="2">
        <v>479490</v>
      </c>
      <c r="F136" s="2">
        <v>4.51</v>
      </c>
      <c r="G136" s="2">
        <v>23853</v>
      </c>
      <c r="H136" s="47">
        <f t="shared" si="8"/>
        <v>8.9052952094934197E-4</v>
      </c>
      <c r="I136">
        <f t="shared" si="9"/>
        <v>21624.999</v>
      </c>
      <c r="J136" t="str">
        <f>_xlfn.XLOOKUP(A136, 'Campaign Metadata'!$B$2:$B$5, 'Campaign Metadata'!$A$2:$A$5, "No Campaign", -1)</f>
        <v>FSDUpdate</v>
      </c>
    </row>
    <row r="137" spans="1:10" ht="15.75" customHeight="1" x14ac:dyDescent="0.25">
      <c r="A137" s="4">
        <v>45453</v>
      </c>
      <c r="B137" s="2" t="s">
        <v>32</v>
      </c>
      <c r="C137" s="2">
        <v>656</v>
      </c>
      <c r="D137" s="2">
        <v>139</v>
      </c>
      <c r="E137" s="2">
        <v>49157</v>
      </c>
      <c r="F137" s="2">
        <v>9.0500000000000007</v>
      </c>
      <c r="G137" s="2">
        <v>9920</v>
      </c>
      <c r="H137" s="47">
        <f t="shared" si="8"/>
        <v>1.0517322049758936E-2</v>
      </c>
      <c r="I137">
        <f t="shared" si="9"/>
        <v>4448.7085000000006</v>
      </c>
      <c r="J137" t="str">
        <f>_xlfn.XLOOKUP(A137, 'Campaign Metadata'!$B$2:$B$5, 'Campaign Metadata'!$A$2:$A$5, "No Campaign", -1)</f>
        <v>No Campaign</v>
      </c>
    </row>
    <row r="138" spans="1:10" ht="15.75" customHeight="1" x14ac:dyDescent="0.25">
      <c r="A138" s="4">
        <v>45502</v>
      </c>
      <c r="B138" s="2" t="s">
        <v>32</v>
      </c>
      <c r="C138" s="2">
        <v>653</v>
      </c>
      <c r="D138" s="2">
        <v>112</v>
      </c>
      <c r="E138" s="2">
        <v>23664</v>
      </c>
      <c r="F138" s="2">
        <v>4.05</v>
      </c>
      <c r="G138" s="2">
        <v>15353</v>
      </c>
      <c r="H138" s="47">
        <f t="shared" si="8"/>
        <v>2.2861730899256253E-2</v>
      </c>
      <c r="I138">
        <f t="shared" si="9"/>
        <v>958.39200000000005</v>
      </c>
      <c r="J138" t="str">
        <f>_xlfn.XLOOKUP(A138, 'Campaign Metadata'!$B$2:$B$5, 'Campaign Metadata'!$A$2:$A$5, "No Campaign", -1)</f>
        <v>CybertruckLaunch</v>
      </c>
    </row>
    <row r="139" spans="1:10" ht="15.75" customHeight="1" x14ac:dyDescent="0.25">
      <c r="A139" s="4">
        <v>45670</v>
      </c>
      <c r="B139" s="2" t="s">
        <v>42</v>
      </c>
      <c r="C139" s="2">
        <v>651</v>
      </c>
      <c r="D139" s="2">
        <v>353</v>
      </c>
      <c r="E139" s="2">
        <v>224699</v>
      </c>
      <c r="F139" s="2">
        <v>5.61</v>
      </c>
      <c r="G139" s="2">
        <v>45708</v>
      </c>
      <c r="H139" s="47">
        <f t="shared" si="8"/>
        <v>1.3262186302564765E-3</v>
      </c>
      <c r="I139">
        <f t="shared" si="9"/>
        <v>12605.6139</v>
      </c>
      <c r="J139" t="str">
        <f>_xlfn.XLOOKUP(A139, 'Campaign Metadata'!$B$2:$B$5, 'Campaign Metadata'!$A$2:$A$5, "No Campaign", -1)</f>
        <v>FSDUpdate</v>
      </c>
    </row>
    <row r="140" spans="1:10" ht="15.75" customHeight="1" x14ac:dyDescent="0.25">
      <c r="A140" s="4">
        <v>45509</v>
      </c>
      <c r="B140" s="2" t="s">
        <v>32</v>
      </c>
      <c r="C140" s="2">
        <v>645</v>
      </c>
      <c r="D140" s="2">
        <v>293</v>
      </c>
      <c r="E140" s="2">
        <v>437968</v>
      </c>
      <c r="F140" s="2">
        <v>7.83</v>
      </c>
      <c r="G140" s="2">
        <v>49303</v>
      </c>
      <c r="H140" s="47">
        <f t="shared" si="8"/>
        <v>8.0371168669857163E-4</v>
      </c>
      <c r="I140">
        <f t="shared" si="9"/>
        <v>34292.894399999997</v>
      </c>
      <c r="J140" t="str">
        <f>_xlfn.XLOOKUP(A140, 'Campaign Metadata'!$B$2:$B$5, 'Campaign Metadata'!$A$2:$A$5, "No Campaign", -1)</f>
        <v>CybertruckLaunch</v>
      </c>
    </row>
    <row r="141" spans="1:10" ht="15.75" customHeight="1" x14ac:dyDescent="0.25">
      <c r="A141" s="4">
        <v>45579</v>
      </c>
      <c r="B141" s="2" t="s">
        <v>42</v>
      </c>
      <c r="C141" s="2">
        <v>643</v>
      </c>
      <c r="D141" s="2">
        <v>358</v>
      </c>
      <c r="E141" s="2">
        <v>157599</v>
      </c>
      <c r="F141" s="2">
        <v>3.88</v>
      </c>
      <c r="G141" s="2">
        <v>7285</v>
      </c>
      <c r="H141" s="47">
        <f t="shared" si="8"/>
        <v>1.8083871090552605E-3</v>
      </c>
      <c r="I141">
        <f t="shared" si="9"/>
        <v>6114.8411999999998</v>
      </c>
      <c r="J141" t="str">
        <f>_xlfn.XLOOKUP(A141, 'Campaign Metadata'!$B$2:$B$5, 'Campaign Metadata'!$A$2:$A$5, "No Campaign", -1)</f>
        <v>ModelYCampaign</v>
      </c>
    </row>
    <row r="142" spans="1:10" ht="15.75" customHeight="1" x14ac:dyDescent="0.25">
      <c r="A142" s="4">
        <v>45593</v>
      </c>
      <c r="B142" s="2" t="s">
        <v>32</v>
      </c>
      <c r="C142" s="2">
        <v>642</v>
      </c>
      <c r="D142" s="2">
        <v>66</v>
      </c>
      <c r="E142" s="2">
        <v>346522</v>
      </c>
      <c r="F142" s="2">
        <v>5.85</v>
      </c>
      <c r="G142" s="2">
        <v>13116</v>
      </c>
      <c r="H142" s="47">
        <f t="shared" si="8"/>
        <v>1.6622321237901201E-3</v>
      </c>
      <c r="I142">
        <f t="shared" si="9"/>
        <v>20271.537</v>
      </c>
      <c r="J142" t="str">
        <f>_xlfn.XLOOKUP(A142, 'Campaign Metadata'!$B$2:$B$5, 'Campaign Metadata'!$A$2:$A$5, "No Campaign", -1)</f>
        <v>ModelYCampaign</v>
      </c>
    </row>
    <row r="143" spans="1:10" ht="15.75" customHeight="1" x14ac:dyDescent="0.25">
      <c r="A143" s="4">
        <v>45614</v>
      </c>
      <c r="B143" s="2" t="s">
        <v>13</v>
      </c>
      <c r="C143" s="2">
        <v>628</v>
      </c>
      <c r="D143" s="2">
        <v>183</v>
      </c>
      <c r="E143" s="2">
        <v>487523</v>
      </c>
      <c r="F143" s="2">
        <v>7.32</v>
      </c>
      <c r="G143" s="2">
        <v>5391</v>
      </c>
      <c r="H143" s="47">
        <f t="shared" si="8"/>
        <v>9.1277744844858602E-4</v>
      </c>
      <c r="I143">
        <f t="shared" si="9"/>
        <v>35686.683600000004</v>
      </c>
      <c r="J143" t="str">
        <f>_xlfn.XLOOKUP(A143, 'Campaign Metadata'!$B$2:$B$5, 'Campaign Metadata'!$A$2:$A$5, "No Campaign", -1)</f>
        <v>ModelYCampaign</v>
      </c>
    </row>
    <row r="144" spans="1:10" ht="15.75" customHeight="1" x14ac:dyDescent="0.25">
      <c r="A144" s="4">
        <v>45754</v>
      </c>
      <c r="B144" s="2" t="s">
        <v>26</v>
      </c>
      <c r="C144" s="2">
        <v>623</v>
      </c>
      <c r="D144" s="2">
        <v>414</v>
      </c>
      <c r="E144" s="2">
        <v>290354</v>
      </c>
      <c r="F144" s="2">
        <v>6.49</v>
      </c>
      <c r="G144" s="2">
        <v>39923</v>
      </c>
      <c r="H144" s="47">
        <f t="shared" si="8"/>
        <v>7.1981098934404211E-4</v>
      </c>
      <c r="I144">
        <f t="shared" si="9"/>
        <v>18843.974600000001</v>
      </c>
      <c r="J144" t="str">
        <f>_xlfn.XLOOKUP(A144, 'Campaign Metadata'!$B$2:$B$5, 'Campaign Metadata'!$A$2:$A$5, "No Campaign", -1)</f>
        <v>SustainabilityDrive</v>
      </c>
    </row>
    <row r="145" spans="1:10" ht="15.75" customHeight="1" x14ac:dyDescent="0.25">
      <c r="A145" s="4">
        <v>45740</v>
      </c>
      <c r="B145" s="2" t="s">
        <v>42</v>
      </c>
      <c r="C145" s="2">
        <v>609</v>
      </c>
      <c r="D145" s="2">
        <v>135</v>
      </c>
      <c r="E145" s="2">
        <v>373606</v>
      </c>
      <c r="F145" s="2">
        <v>8.52</v>
      </c>
      <c r="G145" s="2">
        <v>21453</v>
      </c>
      <c r="H145" s="47">
        <f t="shared" si="8"/>
        <v>1.268716241173857E-3</v>
      </c>
      <c r="I145">
        <f t="shared" si="9"/>
        <v>31831.231199999998</v>
      </c>
      <c r="J145" t="str">
        <f>_xlfn.XLOOKUP(A145, 'Campaign Metadata'!$B$2:$B$5, 'Campaign Metadata'!$A$2:$A$5, "No Campaign", -1)</f>
        <v>SustainabilityDrive</v>
      </c>
    </row>
    <row r="146" spans="1:10" ht="15.75" customHeight="1" x14ac:dyDescent="0.25">
      <c r="A146" s="4">
        <v>45446</v>
      </c>
      <c r="B146" s="2" t="s">
        <v>13</v>
      </c>
      <c r="C146" s="2">
        <v>584</v>
      </c>
      <c r="D146" s="2">
        <v>169</v>
      </c>
      <c r="E146" s="2">
        <v>146834</v>
      </c>
      <c r="F146" s="2">
        <v>8.31</v>
      </c>
      <c r="G146" s="2">
        <v>26752</v>
      </c>
      <c r="H146" s="47">
        <f t="shared" si="8"/>
        <v>2.826320879360366E-3</v>
      </c>
      <c r="I146">
        <f t="shared" si="9"/>
        <v>12201.905400000001</v>
      </c>
      <c r="J146" t="str">
        <f>_xlfn.XLOOKUP(A146, 'Campaign Metadata'!$B$2:$B$5, 'Campaign Metadata'!$A$2:$A$5, "No Campaign", -1)</f>
        <v>No Campaign</v>
      </c>
    </row>
    <row r="147" spans="1:10" ht="15.75" customHeight="1" x14ac:dyDescent="0.25">
      <c r="A147" s="4">
        <v>45502</v>
      </c>
      <c r="B147" s="2" t="s">
        <v>26</v>
      </c>
      <c r="C147" s="2">
        <v>576</v>
      </c>
      <c r="D147" s="2">
        <v>101</v>
      </c>
      <c r="E147" s="2">
        <v>62499</v>
      </c>
      <c r="F147" s="2">
        <v>3.48</v>
      </c>
      <c r="G147" s="2">
        <v>16804</v>
      </c>
      <c r="H147" s="47">
        <f t="shared" si="8"/>
        <v>7.600121601945631E-3</v>
      </c>
      <c r="I147">
        <f t="shared" si="9"/>
        <v>2174.9651999999996</v>
      </c>
      <c r="J147" t="str">
        <f>_xlfn.XLOOKUP(A147, 'Campaign Metadata'!$B$2:$B$5, 'Campaign Metadata'!$A$2:$A$5, "No Campaign", -1)</f>
        <v>CybertruckLaunch</v>
      </c>
    </row>
    <row r="148" spans="1:10" ht="15.75" customHeight="1" x14ac:dyDescent="0.25">
      <c r="A148" s="4">
        <v>45754</v>
      </c>
      <c r="B148" s="2" t="s">
        <v>32</v>
      </c>
      <c r="C148" s="2">
        <v>559</v>
      </c>
      <c r="D148" s="2">
        <v>392</v>
      </c>
      <c r="E148" s="2">
        <v>78789</v>
      </c>
      <c r="F148" s="2">
        <v>3.19</v>
      </c>
      <c r="G148" s="2">
        <v>2436</v>
      </c>
      <c r="H148" s="47">
        <f t="shared" si="8"/>
        <v>2.1195852212872357E-3</v>
      </c>
      <c r="I148">
        <f t="shared" si="9"/>
        <v>2513.3690999999999</v>
      </c>
      <c r="J148" t="str">
        <f>_xlfn.XLOOKUP(A148, 'Campaign Metadata'!$B$2:$B$5, 'Campaign Metadata'!$A$2:$A$5, "No Campaign", -1)</f>
        <v>SustainabilityDrive</v>
      </c>
    </row>
    <row r="149" spans="1:10" ht="15.75" customHeight="1" x14ac:dyDescent="0.25">
      <c r="A149" s="4">
        <v>45537</v>
      </c>
      <c r="B149" s="2" t="s">
        <v>13</v>
      </c>
      <c r="C149" s="2">
        <v>557</v>
      </c>
      <c r="D149" s="2">
        <v>360</v>
      </c>
      <c r="E149" s="2">
        <v>318779</v>
      </c>
      <c r="F149" s="2">
        <v>8.02</v>
      </c>
      <c r="G149" s="2">
        <v>25797</v>
      </c>
      <c r="H149" s="47">
        <f t="shared" si="8"/>
        <v>6.1798299135137512E-4</v>
      </c>
      <c r="I149">
        <f t="shared" si="9"/>
        <v>25566.075799999999</v>
      </c>
      <c r="J149" t="str">
        <f>_xlfn.XLOOKUP(A149, 'Campaign Metadata'!$B$2:$B$5, 'Campaign Metadata'!$A$2:$A$5, "No Campaign", -1)</f>
        <v>CybertruckLaunch</v>
      </c>
    </row>
    <row r="150" spans="1:10" ht="15.75" customHeight="1" x14ac:dyDescent="0.25">
      <c r="A150" s="4">
        <v>45761</v>
      </c>
      <c r="B150" s="2" t="s">
        <v>26</v>
      </c>
      <c r="C150" s="2">
        <v>520</v>
      </c>
      <c r="D150" s="2">
        <v>375</v>
      </c>
      <c r="E150" s="2">
        <v>369525</v>
      </c>
      <c r="F150" s="2">
        <v>6.54</v>
      </c>
      <c r="G150" s="2">
        <v>20733</v>
      </c>
      <c r="H150" s="47">
        <f t="shared" si="8"/>
        <v>3.9239564305527366E-4</v>
      </c>
      <c r="I150">
        <f t="shared" si="9"/>
        <v>24166.935000000001</v>
      </c>
      <c r="J150" t="str">
        <f>_xlfn.XLOOKUP(A150, 'Campaign Metadata'!$B$2:$B$5, 'Campaign Metadata'!$A$2:$A$5, "No Campaign", -1)</f>
        <v>SustainabilityDrive</v>
      </c>
    </row>
    <row r="151" spans="1:10" ht="15.75" customHeight="1" x14ac:dyDescent="0.25">
      <c r="A151" s="4">
        <v>45614</v>
      </c>
      <c r="B151" s="2" t="s">
        <v>42</v>
      </c>
      <c r="C151" s="2">
        <v>513</v>
      </c>
      <c r="D151" s="2">
        <v>441</v>
      </c>
      <c r="E151" s="2">
        <v>338847</v>
      </c>
      <c r="F151" s="2">
        <v>2.68</v>
      </c>
      <c r="G151" s="2">
        <v>39997</v>
      </c>
      <c r="H151" s="47">
        <f t="shared" si="8"/>
        <v>2.1248528096751631E-4</v>
      </c>
      <c r="I151">
        <f t="shared" si="9"/>
        <v>9081.0995999999996</v>
      </c>
      <c r="J151" t="str">
        <f>_xlfn.XLOOKUP(A151, 'Campaign Metadata'!$B$2:$B$5, 'Campaign Metadata'!$A$2:$A$5, "No Campaign", -1)</f>
        <v>ModelYCampaign</v>
      </c>
    </row>
    <row r="152" spans="1:10" ht="15.75" customHeight="1" x14ac:dyDescent="0.25">
      <c r="A152" s="4">
        <v>45719</v>
      </c>
      <c r="B152" s="2" t="s">
        <v>26</v>
      </c>
      <c r="C152" s="2">
        <v>510</v>
      </c>
      <c r="D152" s="2">
        <v>195</v>
      </c>
      <c r="E152" s="2">
        <v>224534</v>
      </c>
      <c r="F152" s="2">
        <v>9.4</v>
      </c>
      <c r="G152" s="2">
        <v>30987</v>
      </c>
      <c r="H152" s="47">
        <f t="shared" si="8"/>
        <v>1.4029055733207443E-3</v>
      </c>
      <c r="I152">
        <f t="shared" si="9"/>
        <v>21106.196</v>
      </c>
      <c r="J152" t="str">
        <f>_xlfn.XLOOKUP(A152, 'Campaign Metadata'!$B$2:$B$5, 'Campaign Metadata'!$A$2:$A$5, "No Campaign", -1)</f>
        <v>SustainabilityDrive</v>
      </c>
    </row>
    <row r="153" spans="1:10" ht="15.75" customHeight="1" x14ac:dyDescent="0.25">
      <c r="A153" s="4">
        <v>45495</v>
      </c>
      <c r="B153" s="2" t="s">
        <v>32</v>
      </c>
      <c r="C153" s="2">
        <v>508</v>
      </c>
      <c r="D153" s="2">
        <v>349</v>
      </c>
      <c r="E153" s="2">
        <v>473812</v>
      </c>
      <c r="F153" s="2">
        <v>7.88</v>
      </c>
      <c r="G153" s="2">
        <v>17328</v>
      </c>
      <c r="H153" s="47">
        <f t="shared" si="8"/>
        <v>3.3557613568250698E-4</v>
      </c>
      <c r="I153">
        <f t="shared" si="9"/>
        <v>37336.385599999994</v>
      </c>
      <c r="J153" t="str">
        <f>_xlfn.XLOOKUP(A153, 'Campaign Metadata'!$B$2:$B$5, 'Campaign Metadata'!$A$2:$A$5, "No Campaign", -1)</f>
        <v>CybertruckLaunch</v>
      </c>
    </row>
    <row r="154" spans="1:10" ht="15.75" customHeight="1" x14ac:dyDescent="0.25">
      <c r="A154" s="4">
        <v>45586</v>
      </c>
      <c r="B154" s="2" t="s">
        <v>42</v>
      </c>
      <c r="C154" s="2">
        <v>508</v>
      </c>
      <c r="D154" s="2">
        <v>69</v>
      </c>
      <c r="E154" s="2">
        <v>23492</v>
      </c>
      <c r="F154" s="2">
        <v>3.16</v>
      </c>
      <c r="G154" s="2">
        <v>42824</v>
      </c>
      <c r="H154" s="47">
        <f t="shared" si="8"/>
        <v>1.8687212668142345E-2</v>
      </c>
      <c r="I154">
        <f t="shared" si="9"/>
        <v>742.34720000000004</v>
      </c>
      <c r="J154" t="str">
        <f>_xlfn.XLOOKUP(A154, 'Campaign Metadata'!$B$2:$B$5, 'Campaign Metadata'!$A$2:$A$5, "No Campaign", -1)</f>
        <v>ModelYCampaign</v>
      </c>
    </row>
    <row r="155" spans="1:10" ht="15.75" customHeight="1" x14ac:dyDescent="0.25">
      <c r="A155" s="4">
        <v>45474</v>
      </c>
      <c r="B155" s="2" t="s">
        <v>42</v>
      </c>
      <c r="C155" s="2">
        <v>505</v>
      </c>
      <c r="D155" s="2">
        <v>441</v>
      </c>
      <c r="E155" s="2">
        <v>220020</v>
      </c>
      <c r="F155" s="2">
        <v>4.4800000000000004</v>
      </c>
      <c r="G155" s="2">
        <v>42307</v>
      </c>
      <c r="H155" s="47">
        <f t="shared" si="8"/>
        <v>2.9088264703208797E-4</v>
      </c>
      <c r="I155">
        <f t="shared" si="9"/>
        <v>9856.8960000000006</v>
      </c>
      <c r="J155" t="str">
        <f>_xlfn.XLOOKUP(A155, 'Campaign Metadata'!$B$2:$B$5, 'Campaign Metadata'!$A$2:$A$5, "No Campaign", -1)</f>
        <v>CybertruckLaunch</v>
      </c>
    </row>
    <row r="156" spans="1:10" ht="15.75" customHeight="1" x14ac:dyDescent="0.25">
      <c r="A156" s="4">
        <v>45740</v>
      </c>
      <c r="B156" s="2" t="s">
        <v>32</v>
      </c>
      <c r="C156" s="2">
        <v>490</v>
      </c>
      <c r="D156" s="2">
        <v>29</v>
      </c>
      <c r="E156" s="2">
        <v>364810</v>
      </c>
      <c r="F156" s="2">
        <v>1.53</v>
      </c>
      <c r="G156" s="2">
        <v>49077</v>
      </c>
      <c r="H156" s="47">
        <f t="shared" si="8"/>
        <v>1.2636715002329981E-3</v>
      </c>
      <c r="I156">
        <f t="shared" si="9"/>
        <v>5581.5930000000008</v>
      </c>
      <c r="J156" t="str">
        <f>_xlfn.XLOOKUP(A156, 'Campaign Metadata'!$B$2:$B$5, 'Campaign Metadata'!$A$2:$A$5, "No Campaign", -1)</f>
        <v>SustainabilityDrive</v>
      </c>
    </row>
    <row r="157" spans="1:10" ht="15.75" customHeight="1" x14ac:dyDescent="0.25">
      <c r="A157" s="4">
        <v>45516</v>
      </c>
      <c r="B157" s="2" t="s">
        <v>13</v>
      </c>
      <c r="C157" s="2">
        <v>485</v>
      </c>
      <c r="D157" s="2">
        <v>448</v>
      </c>
      <c r="E157" s="2">
        <v>434883</v>
      </c>
      <c r="F157" s="2">
        <v>8.5500000000000007</v>
      </c>
      <c r="G157" s="2">
        <v>33258</v>
      </c>
      <c r="H157" s="47">
        <f t="shared" si="8"/>
        <v>8.5080354946042954E-5</v>
      </c>
      <c r="I157">
        <f t="shared" si="9"/>
        <v>37182.496500000001</v>
      </c>
      <c r="J157" t="str">
        <f>_xlfn.XLOOKUP(A157, 'Campaign Metadata'!$B$2:$B$5, 'Campaign Metadata'!$A$2:$A$5, "No Campaign", -1)</f>
        <v>CybertruckLaunch</v>
      </c>
    </row>
    <row r="158" spans="1:10" ht="15.75" customHeight="1" x14ac:dyDescent="0.25">
      <c r="A158" s="4">
        <v>45509</v>
      </c>
      <c r="B158" s="2" t="s">
        <v>26</v>
      </c>
      <c r="C158" s="2">
        <v>460</v>
      </c>
      <c r="D158" s="2">
        <v>141</v>
      </c>
      <c r="E158" s="2">
        <v>320650</v>
      </c>
      <c r="F158" s="2">
        <v>4.04</v>
      </c>
      <c r="G158" s="2">
        <v>49372</v>
      </c>
      <c r="H158" s="47">
        <f t="shared" si="8"/>
        <v>9.9485420240137223E-4</v>
      </c>
      <c r="I158">
        <f t="shared" si="9"/>
        <v>12954.26</v>
      </c>
      <c r="J158" t="str">
        <f>_xlfn.XLOOKUP(A158, 'Campaign Metadata'!$B$2:$B$5, 'Campaign Metadata'!$A$2:$A$5, "No Campaign", -1)</f>
        <v>CybertruckLaunch</v>
      </c>
    </row>
    <row r="159" spans="1:10" ht="15.75" customHeight="1" x14ac:dyDescent="0.25">
      <c r="A159" s="4">
        <v>45607</v>
      </c>
      <c r="B159" s="2" t="s">
        <v>26</v>
      </c>
      <c r="C159" s="2">
        <v>454</v>
      </c>
      <c r="D159" s="2">
        <v>105</v>
      </c>
      <c r="E159" s="2">
        <v>121091</v>
      </c>
      <c r="F159" s="2">
        <v>7.97</v>
      </c>
      <c r="G159" s="2">
        <v>9269</v>
      </c>
      <c r="H159" s="47">
        <f t="shared" si="8"/>
        <v>2.8821299683708945E-3</v>
      </c>
      <c r="I159">
        <f t="shared" si="9"/>
        <v>9650.9526999999998</v>
      </c>
      <c r="J159" t="str">
        <f>_xlfn.XLOOKUP(A159, 'Campaign Metadata'!$B$2:$B$5, 'Campaign Metadata'!$A$2:$A$5, "No Campaign", -1)</f>
        <v>ModelYCampaign</v>
      </c>
    </row>
    <row r="160" spans="1:10" ht="15.75" customHeight="1" x14ac:dyDescent="0.25">
      <c r="A160" s="4">
        <v>45628</v>
      </c>
      <c r="B160" s="2" t="s">
        <v>26</v>
      </c>
      <c r="C160" s="2">
        <v>452</v>
      </c>
      <c r="D160" s="2">
        <v>161</v>
      </c>
      <c r="E160" s="2">
        <v>221274</v>
      </c>
      <c r="F160" s="2">
        <v>2.65</v>
      </c>
      <c r="G160" s="2">
        <v>40888</v>
      </c>
      <c r="H160" s="47">
        <f t="shared" si="8"/>
        <v>1.3151115811166245E-3</v>
      </c>
      <c r="I160">
        <f t="shared" si="9"/>
        <v>5863.7609999999995</v>
      </c>
      <c r="J160" t="str">
        <f>_xlfn.XLOOKUP(A160, 'Campaign Metadata'!$B$2:$B$5, 'Campaign Metadata'!$A$2:$A$5, "No Campaign", -1)</f>
        <v>ModelYCampaign</v>
      </c>
    </row>
    <row r="161" spans="1:10" ht="15.75" customHeight="1" x14ac:dyDescent="0.25">
      <c r="A161" s="4">
        <v>45551</v>
      </c>
      <c r="B161" s="2" t="s">
        <v>42</v>
      </c>
      <c r="C161" s="2">
        <v>443</v>
      </c>
      <c r="D161" s="2">
        <v>345</v>
      </c>
      <c r="E161" s="2">
        <v>474162</v>
      </c>
      <c r="F161" s="2">
        <v>9.1999999999999993</v>
      </c>
      <c r="G161" s="2">
        <v>47462</v>
      </c>
      <c r="H161" s="47">
        <f t="shared" si="8"/>
        <v>2.0668041724136477E-4</v>
      </c>
      <c r="I161">
        <f t="shared" si="9"/>
        <v>43622.904000000002</v>
      </c>
      <c r="J161" t="str">
        <f>_xlfn.XLOOKUP(A161, 'Campaign Metadata'!$B$2:$B$5, 'Campaign Metadata'!$A$2:$A$5, "No Campaign", -1)</f>
        <v>CybertruckLaunch</v>
      </c>
    </row>
    <row r="162" spans="1:10" ht="15.75" customHeight="1" x14ac:dyDescent="0.25">
      <c r="A162" s="4">
        <v>45740</v>
      </c>
      <c r="B162" s="2" t="s">
        <v>26</v>
      </c>
      <c r="C162" s="2">
        <v>442</v>
      </c>
      <c r="D162" s="2">
        <v>53</v>
      </c>
      <c r="E162" s="2">
        <v>441931</v>
      </c>
      <c r="F162" s="2">
        <v>1.87</v>
      </c>
      <c r="G162" s="2">
        <v>20059</v>
      </c>
      <c r="H162" s="47">
        <f t="shared" ref="H162:H193" si="10">(C162-D162)/E162</f>
        <v>8.8022790888170322E-4</v>
      </c>
      <c r="I162">
        <f t="shared" ref="I162:I193" si="11">E162*(F162/100)</f>
        <v>8264.1097000000009</v>
      </c>
      <c r="J162" t="str">
        <f>_xlfn.XLOOKUP(A162, 'Campaign Metadata'!$B$2:$B$5, 'Campaign Metadata'!$A$2:$A$5, "No Campaign", -1)</f>
        <v>SustainabilityDrive</v>
      </c>
    </row>
    <row r="163" spans="1:10" ht="15.75" customHeight="1" x14ac:dyDescent="0.25">
      <c r="A163" s="4">
        <v>45572</v>
      </c>
      <c r="B163" s="2" t="s">
        <v>13</v>
      </c>
      <c r="C163" s="2">
        <v>437</v>
      </c>
      <c r="D163" s="2">
        <v>330</v>
      </c>
      <c r="E163" s="2">
        <v>476486</v>
      </c>
      <c r="F163" s="2">
        <v>4.97</v>
      </c>
      <c r="G163" s="2">
        <v>4509</v>
      </c>
      <c r="H163" s="47">
        <f t="shared" si="10"/>
        <v>2.2456063766826309E-4</v>
      </c>
      <c r="I163">
        <f t="shared" si="11"/>
        <v>23681.354199999998</v>
      </c>
      <c r="J163" t="str">
        <f>_xlfn.XLOOKUP(A163, 'Campaign Metadata'!$B$2:$B$5, 'Campaign Metadata'!$A$2:$A$5, "No Campaign", -1)</f>
        <v>ModelYCampaign</v>
      </c>
    </row>
    <row r="164" spans="1:10" ht="15.75" customHeight="1" x14ac:dyDescent="0.25">
      <c r="A164" s="4">
        <v>45453</v>
      </c>
      <c r="B164" s="2" t="s">
        <v>13</v>
      </c>
      <c r="C164" s="2">
        <v>436</v>
      </c>
      <c r="D164" s="2">
        <v>250</v>
      </c>
      <c r="E164" s="2">
        <v>254347</v>
      </c>
      <c r="F164" s="2">
        <v>4.01</v>
      </c>
      <c r="G164" s="2">
        <v>8912</v>
      </c>
      <c r="H164" s="47">
        <f t="shared" si="10"/>
        <v>7.3128442639386348E-4</v>
      </c>
      <c r="I164">
        <f t="shared" si="11"/>
        <v>10199.314699999999</v>
      </c>
      <c r="J164" t="str">
        <f>_xlfn.XLOOKUP(A164, 'Campaign Metadata'!$B$2:$B$5, 'Campaign Metadata'!$A$2:$A$5, "No Campaign", -1)</f>
        <v>No Campaign</v>
      </c>
    </row>
    <row r="165" spans="1:10" ht="15.75" customHeight="1" x14ac:dyDescent="0.25">
      <c r="A165" s="4">
        <v>45530</v>
      </c>
      <c r="B165" s="2" t="s">
        <v>26</v>
      </c>
      <c r="C165" s="2">
        <v>422</v>
      </c>
      <c r="D165" s="2">
        <v>394</v>
      </c>
      <c r="E165" s="2">
        <v>239044</v>
      </c>
      <c r="F165" s="2">
        <v>7.83</v>
      </c>
      <c r="G165" s="2">
        <v>32929</v>
      </c>
      <c r="H165" s="47">
        <f t="shared" si="10"/>
        <v>1.1713324743561855E-4</v>
      </c>
      <c r="I165">
        <f t="shared" si="11"/>
        <v>18717.145199999999</v>
      </c>
      <c r="J165" t="str">
        <f>_xlfn.XLOOKUP(A165, 'Campaign Metadata'!$B$2:$B$5, 'Campaign Metadata'!$A$2:$A$5, "No Campaign", -1)</f>
        <v>CybertruckLaunch</v>
      </c>
    </row>
    <row r="166" spans="1:10" ht="15.75" customHeight="1" x14ac:dyDescent="0.25">
      <c r="A166" s="4">
        <v>45579</v>
      </c>
      <c r="B166" s="2" t="s">
        <v>26</v>
      </c>
      <c r="C166" s="2">
        <v>414</v>
      </c>
      <c r="D166" s="2">
        <v>47</v>
      </c>
      <c r="E166" s="2">
        <v>199178</v>
      </c>
      <c r="F166" s="2">
        <v>1.53</v>
      </c>
      <c r="G166" s="2">
        <v>6742</v>
      </c>
      <c r="H166" s="47">
        <f t="shared" si="10"/>
        <v>1.8425729749269497E-3</v>
      </c>
      <c r="I166">
        <f t="shared" si="11"/>
        <v>3047.4234000000001</v>
      </c>
      <c r="J166" t="str">
        <f>_xlfn.XLOOKUP(A166, 'Campaign Metadata'!$B$2:$B$5, 'Campaign Metadata'!$A$2:$A$5, "No Campaign", -1)</f>
        <v>ModelYCampaign</v>
      </c>
    </row>
    <row r="167" spans="1:10" ht="15.75" customHeight="1" x14ac:dyDescent="0.25">
      <c r="A167" s="4">
        <v>45782</v>
      </c>
      <c r="B167" s="2" t="s">
        <v>42</v>
      </c>
      <c r="C167" s="2">
        <v>405</v>
      </c>
      <c r="D167" s="2">
        <v>66</v>
      </c>
      <c r="E167" s="2">
        <v>418696</v>
      </c>
      <c r="F167" s="2">
        <v>5.59</v>
      </c>
      <c r="G167" s="2">
        <v>48419</v>
      </c>
      <c r="H167" s="47">
        <f t="shared" si="10"/>
        <v>8.0965664826031301E-4</v>
      </c>
      <c r="I167">
        <f t="shared" si="11"/>
        <v>23405.106400000001</v>
      </c>
      <c r="J167" t="str">
        <f>_xlfn.XLOOKUP(A167, 'Campaign Metadata'!$B$2:$B$5, 'Campaign Metadata'!$A$2:$A$5, "No Campaign", -1)</f>
        <v>SustainabilityDrive</v>
      </c>
    </row>
    <row r="168" spans="1:10" ht="15.75" customHeight="1" x14ac:dyDescent="0.25">
      <c r="A168" s="4">
        <v>45460</v>
      </c>
      <c r="B168" s="2" t="s">
        <v>26</v>
      </c>
      <c r="C168" s="2">
        <v>403</v>
      </c>
      <c r="D168" s="2">
        <v>66</v>
      </c>
      <c r="E168" s="2">
        <v>382851</v>
      </c>
      <c r="F168" s="2">
        <v>3.49</v>
      </c>
      <c r="G168" s="2">
        <v>24313</v>
      </c>
      <c r="H168" s="47">
        <f t="shared" si="10"/>
        <v>8.80238003818718E-4</v>
      </c>
      <c r="I168">
        <f t="shared" si="11"/>
        <v>13361.499900000001</v>
      </c>
      <c r="J168" t="str">
        <f>_xlfn.XLOOKUP(A168, 'Campaign Metadata'!$B$2:$B$5, 'Campaign Metadata'!$A$2:$A$5, "No Campaign", -1)</f>
        <v>CybertruckLaunch</v>
      </c>
    </row>
    <row r="169" spans="1:10" ht="15.75" customHeight="1" x14ac:dyDescent="0.25">
      <c r="A169" s="4">
        <v>45726</v>
      </c>
      <c r="B169" s="2" t="s">
        <v>32</v>
      </c>
      <c r="C169" s="2">
        <v>393</v>
      </c>
      <c r="D169" s="2">
        <v>181</v>
      </c>
      <c r="E169" s="2">
        <v>462142</v>
      </c>
      <c r="F169" s="2">
        <v>7.23</v>
      </c>
      <c r="G169" s="2">
        <v>6296</v>
      </c>
      <c r="H169" s="47">
        <f t="shared" si="10"/>
        <v>4.5873346287504706E-4</v>
      </c>
      <c r="I169">
        <f t="shared" si="11"/>
        <v>33412.866600000001</v>
      </c>
      <c r="J169" t="str">
        <f>_xlfn.XLOOKUP(A169, 'Campaign Metadata'!$B$2:$B$5, 'Campaign Metadata'!$A$2:$A$5, "No Campaign", -1)</f>
        <v>SustainabilityDrive</v>
      </c>
    </row>
    <row r="170" spans="1:10" ht="15.75" customHeight="1" x14ac:dyDescent="0.25">
      <c r="A170" s="4">
        <v>45740</v>
      </c>
      <c r="B170" s="2" t="s">
        <v>13</v>
      </c>
      <c r="C170" s="2">
        <v>364</v>
      </c>
      <c r="D170" s="2">
        <v>72</v>
      </c>
      <c r="E170" s="2">
        <v>211090</v>
      </c>
      <c r="F170" s="2">
        <v>5.53</v>
      </c>
      <c r="G170" s="2">
        <v>21061</v>
      </c>
      <c r="H170" s="47">
        <f t="shared" si="10"/>
        <v>1.3832962243592781E-3</v>
      </c>
      <c r="I170">
        <f t="shared" si="11"/>
        <v>11673.277</v>
      </c>
      <c r="J170" t="str">
        <f>_xlfn.XLOOKUP(A170, 'Campaign Metadata'!$B$2:$B$5, 'Campaign Metadata'!$A$2:$A$5, "No Campaign", -1)</f>
        <v>SustainabilityDrive</v>
      </c>
    </row>
    <row r="171" spans="1:10" ht="15.75" customHeight="1" x14ac:dyDescent="0.25">
      <c r="A171" s="4">
        <v>45705</v>
      </c>
      <c r="B171" s="2" t="s">
        <v>13</v>
      </c>
      <c r="C171" s="2">
        <v>362</v>
      </c>
      <c r="D171" s="2">
        <v>399</v>
      </c>
      <c r="E171" s="2">
        <v>145608</v>
      </c>
      <c r="F171" s="2">
        <v>7.3</v>
      </c>
      <c r="G171" s="2">
        <v>37636</v>
      </c>
      <c r="H171" s="47">
        <f t="shared" si="10"/>
        <v>-2.5410691720235154E-4</v>
      </c>
      <c r="I171">
        <f t="shared" si="11"/>
        <v>10629.384</v>
      </c>
      <c r="J171" t="str">
        <f>_xlfn.XLOOKUP(A171, 'Campaign Metadata'!$B$2:$B$5, 'Campaign Metadata'!$A$2:$A$5, "No Campaign", -1)</f>
        <v>FSDUpdate</v>
      </c>
    </row>
    <row r="172" spans="1:10" ht="15.75" customHeight="1" x14ac:dyDescent="0.25">
      <c r="A172" s="4">
        <v>45761</v>
      </c>
      <c r="B172" s="2" t="s">
        <v>13</v>
      </c>
      <c r="C172" s="2">
        <v>353</v>
      </c>
      <c r="D172" s="2">
        <v>300</v>
      </c>
      <c r="E172" s="2">
        <v>142507</v>
      </c>
      <c r="F172" s="2">
        <v>5.3</v>
      </c>
      <c r="G172" s="2">
        <v>11035</v>
      </c>
      <c r="H172" s="47">
        <f t="shared" si="10"/>
        <v>3.7191155522184875E-4</v>
      </c>
      <c r="I172">
        <f t="shared" si="11"/>
        <v>7552.8710000000001</v>
      </c>
      <c r="J172" t="str">
        <f>_xlfn.XLOOKUP(A172, 'Campaign Metadata'!$B$2:$B$5, 'Campaign Metadata'!$A$2:$A$5, "No Campaign", -1)</f>
        <v>SustainabilityDrive</v>
      </c>
    </row>
    <row r="173" spans="1:10" ht="15.75" customHeight="1" x14ac:dyDescent="0.25">
      <c r="A173" s="4">
        <v>45481</v>
      </c>
      <c r="B173" s="2" t="s">
        <v>42</v>
      </c>
      <c r="C173" s="2">
        <v>350</v>
      </c>
      <c r="D173" s="2">
        <v>41</v>
      </c>
      <c r="E173" s="2">
        <v>251694</v>
      </c>
      <c r="F173" s="2">
        <v>1.91</v>
      </c>
      <c r="G173" s="2">
        <v>38610</v>
      </c>
      <c r="H173" s="47">
        <f t="shared" si="10"/>
        <v>1.2276812319721568E-3</v>
      </c>
      <c r="I173">
        <f t="shared" si="11"/>
        <v>4807.3553999999995</v>
      </c>
      <c r="J173" t="str">
        <f>_xlfn.XLOOKUP(A173, 'Campaign Metadata'!$B$2:$B$5, 'Campaign Metadata'!$A$2:$A$5, "No Campaign", -1)</f>
        <v>CybertruckLaunch</v>
      </c>
    </row>
    <row r="174" spans="1:10" ht="15.75" customHeight="1" x14ac:dyDescent="0.25">
      <c r="A174" s="4">
        <v>45719</v>
      </c>
      <c r="B174" s="2" t="s">
        <v>42</v>
      </c>
      <c r="C174" s="2">
        <v>345</v>
      </c>
      <c r="D174" s="2">
        <v>464</v>
      </c>
      <c r="E174" s="2">
        <v>366881</v>
      </c>
      <c r="F174" s="2">
        <v>4.55</v>
      </c>
      <c r="G174" s="2">
        <v>20553</v>
      </c>
      <c r="H174" s="47">
        <f t="shared" si="10"/>
        <v>-3.2435585380545735E-4</v>
      </c>
      <c r="I174">
        <f t="shared" si="11"/>
        <v>16693.085500000001</v>
      </c>
      <c r="J174" t="str">
        <f>_xlfn.XLOOKUP(A174, 'Campaign Metadata'!$B$2:$B$5, 'Campaign Metadata'!$A$2:$A$5, "No Campaign", -1)</f>
        <v>SustainabilityDrive</v>
      </c>
    </row>
    <row r="175" spans="1:10" ht="15.75" customHeight="1" x14ac:dyDescent="0.25">
      <c r="A175" s="4">
        <v>45789</v>
      </c>
      <c r="B175" s="2" t="s">
        <v>13</v>
      </c>
      <c r="C175" s="2">
        <v>337</v>
      </c>
      <c r="D175" s="2">
        <v>68</v>
      </c>
      <c r="E175" s="2">
        <v>456298</v>
      </c>
      <c r="F175" s="2">
        <v>7.57</v>
      </c>
      <c r="G175" s="2">
        <v>4007</v>
      </c>
      <c r="H175" s="47">
        <f t="shared" si="10"/>
        <v>5.8952701962314107E-4</v>
      </c>
      <c r="I175">
        <f t="shared" si="11"/>
        <v>34541.758600000001</v>
      </c>
      <c r="J175" t="str">
        <f>_xlfn.XLOOKUP(A175, 'Campaign Metadata'!$B$2:$B$5, 'Campaign Metadata'!$A$2:$A$5, "No Campaign", -1)</f>
        <v>SustainabilityDrive</v>
      </c>
    </row>
    <row r="176" spans="1:10" ht="15.75" customHeight="1" x14ac:dyDescent="0.25">
      <c r="A176" s="4">
        <v>45621</v>
      </c>
      <c r="B176" s="2" t="s">
        <v>13</v>
      </c>
      <c r="C176" s="2">
        <v>330</v>
      </c>
      <c r="D176" s="2">
        <v>232</v>
      </c>
      <c r="E176" s="2">
        <v>88455</v>
      </c>
      <c r="F176" s="2">
        <v>2.69</v>
      </c>
      <c r="G176" s="2">
        <v>39530</v>
      </c>
      <c r="H176" s="47">
        <f t="shared" si="10"/>
        <v>1.1079079758069075E-3</v>
      </c>
      <c r="I176">
        <f t="shared" si="11"/>
        <v>2379.4395</v>
      </c>
      <c r="J176" t="str">
        <f>_xlfn.XLOOKUP(A176, 'Campaign Metadata'!$B$2:$B$5, 'Campaign Metadata'!$A$2:$A$5, "No Campaign", -1)</f>
        <v>ModelYCampaign</v>
      </c>
    </row>
    <row r="177" spans="1:10" ht="15.75" customHeight="1" x14ac:dyDescent="0.25">
      <c r="A177" s="4">
        <v>45467</v>
      </c>
      <c r="B177" s="2" t="s">
        <v>26</v>
      </c>
      <c r="C177" s="2">
        <v>308</v>
      </c>
      <c r="D177" s="2">
        <v>431</v>
      </c>
      <c r="E177" s="2">
        <v>426184</v>
      </c>
      <c r="F177" s="2">
        <v>2.62</v>
      </c>
      <c r="G177" s="2">
        <v>1783</v>
      </c>
      <c r="H177" s="47">
        <f t="shared" si="10"/>
        <v>-2.8860773750305035E-4</v>
      </c>
      <c r="I177">
        <f t="shared" si="11"/>
        <v>11166.0208</v>
      </c>
      <c r="J177" t="str">
        <f>_xlfn.XLOOKUP(A177, 'Campaign Metadata'!$B$2:$B$5, 'Campaign Metadata'!$A$2:$A$5, "No Campaign", -1)</f>
        <v>CybertruckLaunch</v>
      </c>
    </row>
    <row r="178" spans="1:10" ht="15.75" customHeight="1" x14ac:dyDescent="0.25">
      <c r="A178" s="4">
        <v>45572</v>
      </c>
      <c r="B178" s="2" t="s">
        <v>26</v>
      </c>
      <c r="C178" s="2">
        <v>307</v>
      </c>
      <c r="D178" s="2">
        <v>189</v>
      </c>
      <c r="E178" s="2">
        <v>117767</v>
      </c>
      <c r="F178" s="2">
        <v>9.3000000000000007</v>
      </c>
      <c r="G178" s="2">
        <v>27822</v>
      </c>
      <c r="H178" s="47">
        <f t="shared" si="10"/>
        <v>1.0019784829366461E-3</v>
      </c>
      <c r="I178">
        <f t="shared" si="11"/>
        <v>10952.331000000002</v>
      </c>
      <c r="J178" t="str">
        <f>_xlfn.XLOOKUP(A178, 'Campaign Metadata'!$B$2:$B$5, 'Campaign Metadata'!$A$2:$A$5, "No Campaign", -1)</f>
        <v>ModelYCampaign</v>
      </c>
    </row>
    <row r="179" spans="1:10" ht="15.75" customHeight="1" x14ac:dyDescent="0.25">
      <c r="A179" s="4">
        <v>45614</v>
      </c>
      <c r="B179" s="2" t="s">
        <v>26</v>
      </c>
      <c r="C179" s="2">
        <v>278</v>
      </c>
      <c r="D179" s="2">
        <v>218</v>
      </c>
      <c r="E179" s="2">
        <v>301695</v>
      </c>
      <c r="F179" s="2">
        <v>4.68</v>
      </c>
      <c r="G179" s="2">
        <v>22373</v>
      </c>
      <c r="H179" s="47">
        <f t="shared" si="10"/>
        <v>1.9887634863023914E-4</v>
      </c>
      <c r="I179">
        <f t="shared" si="11"/>
        <v>14119.325999999999</v>
      </c>
      <c r="J179" t="str">
        <f>_xlfn.XLOOKUP(A179, 'Campaign Metadata'!$B$2:$B$5, 'Campaign Metadata'!$A$2:$A$5, "No Campaign", -1)</f>
        <v>ModelYCampaign</v>
      </c>
    </row>
    <row r="180" spans="1:10" ht="15.75" customHeight="1" x14ac:dyDescent="0.25">
      <c r="A180" s="4">
        <v>45565</v>
      </c>
      <c r="B180" s="2" t="s">
        <v>42</v>
      </c>
      <c r="C180" s="2">
        <v>250</v>
      </c>
      <c r="D180" s="2">
        <v>429</v>
      </c>
      <c r="E180" s="2">
        <v>453423</v>
      </c>
      <c r="F180" s="2">
        <v>1.77</v>
      </c>
      <c r="G180" s="2">
        <v>2315</v>
      </c>
      <c r="H180" s="47">
        <f t="shared" si="10"/>
        <v>-3.9477485703195471E-4</v>
      </c>
      <c r="I180">
        <f t="shared" si="11"/>
        <v>8025.5871000000006</v>
      </c>
      <c r="J180" t="str">
        <f>_xlfn.XLOOKUP(A180, 'Campaign Metadata'!$B$2:$B$5, 'Campaign Metadata'!$A$2:$A$5, "No Campaign", -1)</f>
        <v>CybertruckLaunch</v>
      </c>
    </row>
    <row r="181" spans="1:10" ht="15.75" customHeight="1" x14ac:dyDescent="0.25">
      <c r="A181" s="4">
        <v>45530</v>
      </c>
      <c r="B181" s="2" t="s">
        <v>42</v>
      </c>
      <c r="C181" s="2">
        <v>248</v>
      </c>
      <c r="D181" s="2">
        <v>211</v>
      </c>
      <c r="E181" s="2">
        <v>379380</v>
      </c>
      <c r="F181" s="2">
        <v>9.0399999999999991</v>
      </c>
      <c r="G181" s="2">
        <v>26925</v>
      </c>
      <c r="H181" s="47">
        <f t="shared" si="10"/>
        <v>9.7527544941747058E-5</v>
      </c>
      <c r="I181">
        <f t="shared" si="11"/>
        <v>34295.951999999997</v>
      </c>
      <c r="J181" t="str">
        <f>_xlfn.XLOOKUP(A181, 'Campaign Metadata'!$B$2:$B$5, 'Campaign Metadata'!$A$2:$A$5, "No Campaign", -1)</f>
        <v>CybertruckLaunch</v>
      </c>
    </row>
    <row r="182" spans="1:10" ht="15.75" customHeight="1" x14ac:dyDescent="0.25">
      <c r="A182" s="4">
        <v>45474</v>
      </c>
      <c r="B182" s="2" t="s">
        <v>32</v>
      </c>
      <c r="C182" s="2">
        <v>226</v>
      </c>
      <c r="D182" s="2">
        <v>445</v>
      </c>
      <c r="E182" s="2">
        <v>419447</v>
      </c>
      <c r="F182" s="2">
        <v>9.36</v>
      </c>
      <c r="G182" s="2">
        <v>9566</v>
      </c>
      <c r="H182" s="47">
        <f t="shared" si="10"/>
        <v>-5.2211602419375983E-4</v>
      </c>
      <c r="I182">
        <f t="shared" si="11"/>
        <v>39260.239199999996</v>
      </c>
      <c r="J182" t="str">
        <f>_xlfn.XLOOKUP(A182, 'Campaign Metadata'!$B$2:$B$5, 'Campaign Metadata'!$A$2:$A$5, "No Campaign", -1)</f>
        <v>CybertruckLaunch</v>
      </c>
    </row>
    <row r="183" spans="1:10" ht="15.75" customHeight="1" x14ac:dyDescent="0.25">
      <c r="A183" s="4">
        <v>45488</v>
      </c>
      <c r="B183" s="2" t="s">
        <v>26</v>
      </c>
      <c r="C183" s="2">
        <v>224</v>
      </c>
      <c r="D183" s="2">
        <v>64</v>
      </c>
      <c r="E183" s="2">
        <v>156683</v>
      </c>
      <c r="F183" s="2">
        <v>4.5599999999999996</v>
      </c>
      <c r="G183" s="2">
        <v>28474</v>
      </c>
      <c r="H183" s="47">
        <f t="shared" si="10"/>
        <v>1.0211701333265254E-3</v>
      </c>
      <c r="I183">
        <f t="shared" si="11"/>
        <v>7144.7447999999995</v>
      </c>
      <c r="J183" t="str">
        <f>_xlfn.XLOOKUP(A183, 'Campaign Metadata'!$B$2:$B$5, 'Campaign Metadata'!$A$2:$A$5, "No Campaign", -1)</f>
        <v>CybertruckLaunch</v>
      </c>
    </row>
    <row r="184" spans="1:10" ht="15.75" customHeight="1" x14ac:dyDescent="0.25">
      <c r="A184" s="4">
        <v>45523</v>
      </c>
      <c r="B184" s="2" t="s">
        <v>26</v>
      </c>
      <c r="C184" s="2">
        <v>221</v>
      </c>
      <c r="D184" s="2">
        <v>31</v>
      </c>
      <c r="E184" s="2">
        <v>87443</v>
      </c>
      <c r="F184" s="2">
        <v>6.19</v>
      </c>
      <c r="G184" s="2">
        <v>10283</v>
      </c>
      <c r="H184" s="47">
        <f t="shared" si="10"/>
        <v>2.1728440241071327E-3</v>
      </c>
      <c r="I184">
        <f t="shared" si="11"/>
        <v>5412.7217000000001</v>
      </c>
      <c r="J184" t="str">
        <f>_xlfn.XLOOKUP(A184, 'Campaign Metadata'!$B$2:$B$5, 'Campaign Metadata'!$A$2:$A$5, "No Campaign", -1)</f>
        <v>CybertruckLaunch</v>
      </c>
    </row>
    <row r="185" spans="1:10" ht="15.75" customHeight="1" x14ac:dyDescent="0.25">
      <c r="A185" s="4">
        <v>45523</v>
      </c>
      <c r="B185" s="2" t="s">
        <v>32</v>
      </c>
      <c r="C185" s="2">
        <v>215</v>
      </c>
      <c r="D185" s="2">
        <v>139</v>
      </c>
      <c r="E185" s="2">
        <v>325444</v>
      </c>
      <c r="F185" s="2">
        <v>3.25</v>
      </c>
      <c r="G185" s="2">
        <v>35501</v>
      </c>
      <c r="H185" s="47">
        <f t="shared" si="10"/>
        <v>2.335271198731579E-4</v>
      </c>
      <c r="I185">
        <f t="shared" si="11"/>
        <v>10576.93</v>
      </c>
      <c r="J185" t="str">
        <f>_xlfn.XLOOKUP(A185, 'Campaign Metadata'!$B$2:$B$5, 'Campaign Metadata'!$A$2:$A$5, "No Campaign", -1)</f>
        <v>CybertruckLaunch</v>
      </c>
    </row>
    <row r="186" spans="1:10" ht="15.75" customHeight="1" x14ac:dyDescent="0.25">
      <c r="A186" s="4">
        <v>45509</v>
      </c>
      <c r="B186" s="2" t="s">
        <v>42</v>
      </c>
      <c r="C186" s="2">
        <v>214</v>
      </c>
      <c r="D186" s="2">
        <v>411</v>
      </c>
      <c r="E186" s="2">
        <v>125034</v>
      </c>
      <c r="F186" s="2">
        <v>6.11</v>
      </c>
      <c r="G186" s="2">
        <v>26455</v>
      </c>
      <c r="H186" s="47">
        <f t="shared" si="10"/>
        <v>-1.5755714445670778E-3</v>
      </c>
      <c r="I186">
        <f t="shared" si="11"/>
        <v>7639.5774000000001</v>
      </c>
      <c r="J186" t="str">
        <f>_xlfn.XLOOKUP(A186, 'Campaign Metadata'!$B$2:$B$5, 'Campaign Metadata'!$A$2:$A$5, "No Campaign", -1)</f>
        <v>CybertruckLaunch</v>
      </c>
    </row>
    <row r="187" spans="1:10" ht="15.75" customHeight="1" x14ac:dyDescent="0.25">
      <c r="A187" s="4">
        <v>45579</v>
      </c>
      <c r="B187" s="2" t="s">
        <v>13</v>
      </c>
      <c r="C187" s="2">
        <v>201</v>
      </c>
      <c r="D187" s="2">
        <v>221</v>
      </c>
      <c r="E187" s="2">
        <v>309772</v>
      </c>
      <c r="F187" s="2">
        <v>5.9</v>
      </c>
      <c r="G187" s="2">
        <v>33174</v>
      </c>
      <c r="H187" s="47">
        <f t="shared" si="10"/>
        <v>-6.456361452939582E-5</v>
      </c>
      <c r="I187">
        <f t="shared" si="11"/>
        <v>18276.548000000003</v>
      </c>
      <c r="J187" t="str">
        <f>_xlfn.XLOOKUP(A187, 'Campaign Metadata'!$B$2:$B$5, 'Campaign Metadata'!$A$2:$A$5, "No Campaign", -1)</f>
        <v>ModelYCampaign</v>
      </c>
    </row>
    <row r="188" spans="1:10" ht="15.75" customHeight="1" x14ac:dyDescent="0.25">
      <c r="A188" s="4">
        <v>45558</v>
      </c>
      <c r="B188" s="2" t="s">
        <v>42</v>
      </c>
      <c r="C188" s="2">
        <v>198</v>
      </c>
      <c r="D188" s="2">
        <v>217</v>
      </c>
      <c r="E188" s="2">
        <v>239753</v>
      </c>
      <c r="F188" s="2">
        <v>7.36</v>
      </c>
      <c r="G188" s="2">
        <v>11901</v>
      </c>
      <c r="H188" s="47">
        <f t="shared" si="10"/>
        <v>-7.9248226299566635E-5</v>
      </c>
      <c r="I188">
        <f t="shared" si="11"/>
        <v>17645.820800000001</v>
      </c>
      <c r="J188" t="str">
        <f>_xlfn.XLOOKUP(A188, 'Campaign Metadata'!$B$2:$B$5, 'Campaign Metadata'!$A$2:$A$5, "No Campaign", -1)</f>
        <v>CybertruckLaunch</v>
      </c>
    </row>
    <row r="189" spans="1:10" ht="15.75" customHeight="1" x14ac:dyDescent="0.25">
      <c r="A189" s="4">
        <v>45761</v>
      </c>
      <c r="B189" s="2" t="s">
        <v>32</v>
      </c>
      <c r="C189" s="2">
        <v>198</v>
      </c>
      <c r="D189" s="2">
        <v>358</v>
      </c>
      <c r="E189" s="2">
        <v>66682</v>
      </c>
      <c r="F189" s="2">
        <v>6.73</v>
      </c>
      <c r="G189" s="2">
        <v>2293</v>
      </c>
      <c r="H189" s="47">
        <f t="shared" si="10"/>
        <v>-2.3994481269308059E-3</v>
      </c>
      <c r="I189">
        <f t="shared" si="11"/>
        <v>4487.6985999999997</v>
      </c>
      <c r="J189" t="str">
        <f>_xlfn.XLOOKUP(A189, 'Campaign Metadata'!$B$2:$B$5, 'Campaign Metadata'!$A$2:$A$5, "No Campaign", -1)</f>
        <v>SustainabilityDrive</v>
      </c>
    </row>
    <row r="190" spans="1:10" ht="15.75" customHeight="1" x14ac:dyDescent="0.25">
      <c r="A190" s="4">
        <v>45761</v>
      </c>
      <c r="B190" s="2" t="s">
        <v>42</v>
      </c>
      <c r="C190" s="2">
        <v>198</v>
      </c>
      <c r="D190" s="2">
        <v>373</v>
      </c>
      <c r="E190" s="2">
        <v>70707</v>
      </c>
      <c r="F190" s="2">
        <v>4.83</v>
      </c>
      <c r="G190" s="2">
        <v>25920</v>
      </c>
      <c r="H190" s="47">
        <f t="shared" si="10"/>
        <v>-2.4750024750024749E-3</v>
      </c>
      <c r="I190">
        <f t="shared" si="11"/>
        <v>3415.1481000000003</v>
      </c>
      <c r="J190" t="str">
        <f>_xlfn.XLOOKUP(A190, 'Campaign Metadata'!$B$2:$B$5, 'Campaign Metadata'!$A$2:$A$5, "No Campaign", -1)</f>
        <v>SustainabilityDrive</v>
      </c>
    </row>
    <row r="191" spans="1:10" ht="15.75" customHeight="1" x14ac:dyDescent="0.25">
      <c r="A191" s="4">
        <v>45593</v>
      </c>
      <c r="B191" s="2" t="s">
        <v>13</v>
      </c>
      <c r="C191" s="2">
        <v>191</v>
      </c>
      <c r="D191" s="2">
        <v>154</v>
      </c>
      <c r="E191" s="2">
        <v>240550</v>
      </c>
      <c r="F191" s="2">
        <v>5.22</v>
      </c>
      <c r="G191" s="2">
        <v>15827</v>
      </c>
      <c r="H191" s="47">
        <f t="shared" si="10"/>
        <v>1.5381417584701726E-4</v>
      </c>
      <c r="I191">
        <f t="shared" si="11"/>
        <v>12556.71</v>
      </c>
      <c r="J191" t="str">
        <f>_xlfn.XLOOKUP(A191, 'Campaign Metadata'!$B$2:$B$5, 'Campaign Metadata'!$A$2:$A$5, "No Campaign", -1)</f>
        <v>ModelYCampaign</v>
      </c>
    </row>
    <row r="192" spans="1:10" ht="15.75" customHeight="1" x14ac:dyDescent="0.25">
      <c r="A192" s="4">
        <v>45614</v>
      </c>
      <c r="B192" s="2" t="s">
        <v>32</v>
      </c>
      <c r="C192" s="2">
        <v>187</v>
      </c>
      <c r="D192" s="2">
        <v>236</v>
      </c>
      <c r="E192" s="2">
        <v>51087</v>
      </c>
      <c r="F192" s="2">
        <v>9.41</v>
      </c>
      <c r="G192" s="2">
        <v>29533</v>
      </c>
      <c r="H192" s="47">
        <f t="shared" si="10"/>
        <v>-9.5914811987394058E-4</v>
      </c>
      <c r="I192">
        <f t="shared" si="11"/>
        <v>4807.2867000000006</v>
      </c>
      <c r="J192" t="str">
        <f>_xlfn.XLOOKUP(A192, 'Campaign Metadata'!$B$2:$B$5, 'Campaign Metadata'!$A$2:$A$5, "No Campaign", -1)</f>
        <v>ModelYCampaign</v>
      </c>
    </row>
    <row r="193" spans="1:10" ht="15.75" customHeight="1" x14ac:dyDescent="0.25">
      <c r="A193" s="4">
        <v>45607</v>
      </c>
      <c r="B193" s="2" t="s">
        <v>42</v>
      </c>
      <c r="C193" s="2">
        <v>171</v>
      </c>
      <c r="D193" s="2">
        <v>277</v>
      </c>
      <c r="E193" s="2">
        <v>309483</v>
      </c>
      <c r="F193" s="2">
        <v>8.6999999999999993</v>
      </c>
      <c r="G193" s="2">
        <v>38452</v>
      </c>
      <c r="H193" s="47">
        <f t="shared" si="10"/>
        <v>-3.4250669665215861E-4</v>
      </c>
      <c r="I193">
        <f t="shared" si="11"/>
        <v>26925.020999999997</v>
      </c>
      <c r="J193" t="str">
        <f>_xlfn.XLOOKUP(A193, 'Campaign Metadata'!$B$2:$B$5, 'Campaign Metadata'!$A$2:$A$5, "No Campaign", -1)</f>
        <v>ModelYCampaign</v>
      </c>
    </row>
    <row r="194" spans="1:10" ht="15.75" customHeight="1" x14ac:dyDescent="0.25">
      <c r="A194" s="4">
        <v>45488</v>
      </c>
      <c r="B194" s="2" t="s">
        <v>42</v>
      </c>
      <c r="C194" s="2">
        <v>170</v>
      </c>
      <c r="D194" s="2">
        <v>334</v>
      </c>
      <c r="E194" s="2">
        <v>334626</v>
      </c>
      <c r="F194" s="2">
        <v>6.44</v>
      </c>
      <c r="G194" s="2">
        <v>43420</v>
      </c>
      <c r="H194" s="47">
        <f t="shared" ref="H194:H201" si="12">(C194-D194)/E194</f>
        <v>-4.9009939454794306E-4</v>
      </c>
      <c r="I194">
        <f t="shared" ref="I194:I201" si="13">E194*(F194/100)</f>
        <v>21549.914399999998</v>
      </c>
      <c r="J194" t="str">
        <f>_xlfn.XLOOKUP(A194, 'Campaign Metadata'!$B$2:$B$5, 'Campaign Metadata'!$A$2:$A$5, "No Campaign", -1)</f>
        <v>CybertruckLaunch</v>
      </c>
    </row>
    <row r="195" spans="1:10" ht="15.75" customHeight="1" x14ac:dyDescent="0.25">
      <c r="A195" s="4">
        <v>45502</v>
      </c>
      <c r="B195" s="2" t="s">
        <v>42</v>
      </c>
      <c r="C195" s="2">
        <v>160</v>
      </c>
      <c r="D195" s="2">
        <v>478</v>
      </c>
      <c r="E195" s="2">
        <v>435034</v>
      </c>
      <c r="F195" s="2">
        <v>7.73</v>
      </c>
      <c r="G195" s="2">
        <v>4839</v>
      </c>
      <c r="H195" s="47">
        <f t="shared" si="12"/>
        <v>-7.3097734889686784E-4</v>
      </c>
      <c r="I195">
        <f t="shared" si="13"/>
        <v>33628.128200000006</v>
      </c>
      <c r="J195" t="str">
        <f>_xlfn.XLOOKUP(A195, 'Campaign Metadata'!$B$2:$B$5, 'Campaign Metadata'!$A$2:$A$5, "No Campaign", -1)</f>
        <v>CybertruckLaunch</v>
      </c>
    </row>
    <row r="196" spans="1:10" ht="15.75" customHeight="1" x14ac:dyDescent="0.25">
      <c r="A196" s="4">
        <v>45691</v>
      </c>
      <c r="B196" s="2" t="s">
        <v>26</v>
      </c>
      <c r="C196" s="2">
        <v>152</v>
      </c>
      <c r="D196" s="2">
        <v>355</v>
      </c>
      <c r="E196" s="2">
        <v>270766</v>
      </c>
      <c r="F196" s="2">
        <v>9.48</v>
      </c>
      <c r="G196" s="2">
        <v>18001</v>
      </c>
      <c r="H196" s="47">
        <f t="shared" si="12"/>
        <v>-7.4972485467156139E-4</v>
      </c>
      <c r="I196">
        <f t="shared" si="13"/>
        <v>25668.616800000003</v>
      </c>
      <c r="J196" t="str">
        <f>_xlfn.XLOOKUP(A196, 'Campaign Metadata'!$B$2:$B$5, 'Campaign Metadata'!$A$2:$A$5, "No Campaign", -1)</f>
        <v>FSDUpdate</v>
      </c>
    </row>
    <row r="197" spans="1:10" ht="15.75" customHeight="1" x14ac:dyDescent="0.25">
      <c r="A197" s="4">
        <v>45474</v>
      </c>
      <c r="B197" s="2" t="s">
        <v>26</v>
      </c>
      <c r="C197" s="2">
        <v>144</v>
      </c>
      <c r="D197" s="2">
        <v>53</v>
      </c>
      <c r="E197" s="2">
        <v>113678</v>
      </c>
      <c r="F197" s="2">
        <v>8.7200000000000006</v>
      </c>
      <c r="G197" s="2">
        <v>30060</v>
      </c>
      <c r="H197" s="47">
        <f t="shared" si="12"/>
        <v>8.0050669434719116E-4</v>
      </c>
      <c r="I197">
        <f t="shared" si="13"/>
        <v>9912.7216000000008</v>
      </c>
      <c r="J197" t="str">
        <f>_xlfn.XLOOKUP(A197, 'Campaign Metadata'!$B$2:$B$5, 'Campaign Metadata'!$A$2:$A$5, "No Campaign", -1)</f>
        <v>CybertruckLaunch</v>
      </c>
    </row>
    <row r="198" spans="1:10" ht="15.75" customHeight="1" x14ac:dyDescent="0.25">
      <c r="A198" s="4">
        <v>45551</v>
      </c>
      <c r="B198" s="2" t="s">
        <v>26</v>
      </c>
      <c r="C198" s="2">
        <v>123</v>
      </c>
      <c r="D198" s="2">
        <v>155</v>
      </c>
      <c r="E198" s="2">
        <v>119934</v>
      </c>
      <c r="F198" s="2">
        <v>3.5</v>
      </c>
      <c r="G198" s="2">
        <v>5442</v>
      </c>
      <c r="H198" s="47">
        <f t="shared" si="12"/>
        <v>-2.6681341404439108E-4</v>
      </c>
      <c r="I198">
        <f t="shared" si="13"/>
        <v>4197.6900000000005</v>
      </c>
      <c r="J198" t="str">
        <f>_xlfn.XLOOKUP(A198, 'Campaign Metadata'!$B$2:$B$5, 'Campaign Metadata'!$A$2:$A$5, "No Campaign", -1)</f>
        <v>CybertruckLaunch</v>
      </c>
    </row>
    <row r="199" spans="1:10" ht="15.75" customHeight="1" x14ac:dyDescent="0.25">
      <c r="A199" s="4">
        <v>45789</v>
      </c>
      <c r="B199" s="2" t="s">
        <v>26</v>
      </c>
      <c r="C199" s="2">
        <v>119</v>
      </c>
      <c r="D199" s="2">
        <v>456</v>
      </c>
      <c r="E199" s="2">
        <v>82558</v>
      </c>
      <c r="F199" s="2">
        <v>6.81</v>
      </c>
      <c r="G199" s="2">
        <v>12174</v>
      </c>
      <c r="H199" s="47">
        <f t="shared" si="12"/>
        <v>-4.0819787301048958E-3</v>
      </c>
      <c r="I199">
        <f t="shared" si="13"/>
        <v>5622.1997999999994</v>
      </c>
      <c r="J199" t="str">
        <f>_xlfn.XLOOKUP(A199, 'Campaign Metadata'!$B$2:$B$5, 'Campaign Metadata'!$A$2:$A$5, "No Campaign", -1)</f>
        <v>SustainabilityDrive</v>
      </c>
    </row>
    <row r="200" spans="1:10" ht="15.75" customHeight="1" x14ac:dyDescent="0.25">
      <c r="A200" s="4">
        <v>45670</v>
      </c>
      <c r="B200" s="2" t="s">
        <v>13</v>
      </c>
      <c r="C200" s="2">
        <v>118</v>
      </c>
      <c r="D200" s="2">
        <v>262</v>
      </c>
      <c r="E200" s="2">
        <v>487896</v>
      </c>
      <c r="F200" s="2">
        <v>2.56</v>
      </c>
      <c r="G200" s="2">
        <v>12350</v>
      </c>
      <c r="H200" s="47">
        <f t="shared" si="12"/>
        <v>-2.9514486693885583E-4</v>
      </c>
      <c r="I200">
        <f t="shared" si="13"/>
        <v>12490.1376</v>
      </c>
      <c r="J200" t="str">
        <f>_xlfn.XLOOKUP(A200, 'Campaign Metadata'!$B$2:$B$5, 'Campaign Metadata'!$A$2:$A$5, "No Campaign", -1)</f>
        <v>FSDUpdate</v>
      </c>
    </row>
    <row r="201" spans="1:10" ht="15.75" customHeight="1" x14ac:dyDescent="0.25">
      <c r="A201" s="4">
        <v>45684</v>
      </c>
      <c r="B201" s="2" t="s">
        <v>32</v>
      </c>
      <c r="C201" s="2">
        <v>115</v>
      </c>
      <c r="D201" s="2">
        <v>281</v>
      </c>
      <c r="E201" s="2">
        <v>357265</v>
      </c>
      <c r="F201" s="2">
        <v>9.23</v>
      </c>
      <c r="G201" s="2">
        <v>25525</v>
      </c>
      <c r="H201" s="47">
        <f t="shared" si="12"/>
        <v>-4.6464109274628077E-4</v>
      </c>
      <c r="I201">
        <f t="shared" si="13"/>
        <v>32975.559500000003</v>
      </c>
      <c r="J201" t="str">
        <f>_xlfn.XLOOKUP(A201, 'Campaign Metadata'!$B$2:$B$5, 'Campaign Metadata'!$A$2:$A$5, "No Campaign", -1)</f>
        <v>FSDUpdate</v>
      </c>
    </row>
    <row r="202" spans="1:10" ht="15.75" customHeight="1" x14ac:dyDescent="0.25"/>
    <row r="203" spans="1:10" ht="15.75" customHeight="1" x14ac:dyDescent="0.25"/>
    <row r="204" spans="1:10" ht="15.75" customHeight="1" x14ac:dyDescent="0.25"/>
    <row r="205" spans="1:10" ht="15.75" customHeight="1" x14ac:dyDescent="0.25"/>
    <row r="206" spans="1:10" ht="15.75" customHeight="1" x14ac:dyDescent="0.25"/>
    <row r="207" spans="1:10" ht="15.75" customHeight="1" x14ac:dyDescent="0.25"/>
    <row r="208" spans="1:10"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ortState xmlns:xlrd2="http://schemas.microsoft.com/office/spreadsheetml/2017/richdata2" ref="A2:I201">
    <sortCondition descending="1" ref="C9:C201"/>
  </sortState>
  <conditionalFormatting sqref="C1:C201">
    <cfRule type="top10" dxfId="160" priority="1" rank="10"/>
    <cfRule type="top10" dxfId="159" priority="2" rank="5"/>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D1" zoomScaleNormal="100" workbookViewId="0">
      <selection activeCell="J2" sqref="J2"/>
    </sheetView>
  </sheetViews>
  <sheetFormatPr defaultColWidth="14.42578125" defaultRowHeight="15" customHeight="1" x14ac:dyDescent="0.25"/>
  <cols>
    <col min="1" max="1" width="18.5703125" customWidth="1"/>
    <col min="2" max="2" width="16.42578125" style="5" customWidth="1"/>
    <col min="3" max="3" width="14.85546875" style="5" customWidth="1"/>
    <col min="4" max="4" width="24.7109375" customWidth="1"/>
    <col min="5" max="5" width="14.85546875" customWidth="1"/>
    <col min="6" max="6" width="24.28515625" customWidth="1"/>
    <col min="7" max="7" width="33" customWidth="1"/>
    <col min="8" max="8" width="30.140625" customWidth="1"/>
    <col min="9" max="9" width="24.5703125" customWidth="1"/>
    <col min="10" max="10" width="14.28515625" customWidth="1"/>
    <col min="11" max="11" width="11.42578125" customWidth="1"/>
    <col min="12" max="26" width="8.7109375" customWidth="1"/>
  </cols>
  <sheetData>
    <row r="1" spans="1:11" x14ac:dyDescent="0.25">
      <c r="A1" s="9" t="s">
        <v>11</v>
      </c>
      <c r="B1" s="110" t="s">
        <v>590</v>
      </c>
      <c r="C1" s="110" t="s">
        <v>591</v>
      </c>
      <c r="D1" s="9" t="s">
        <v>592</v>
      </c>
      <c r="E1" s="9" t="s">
        <v>593</v>
      </c>
      <c r="F1" s="9" t="s">
        <v>594</v>
      </c>
      <c r="G1" s="9" t="s">
        <v>595</v>
      </c>
      <c r="H1" s="109" t="s">
        <v>653</v>
      </c>
      <c r="I1" s="109" t="s">
        <v>654</v>
      </c>
      <c r="J1" s="109" t="s">
        <v>652</v>
      </c>
      <c r="K1" s="9" t="s">
        <v>665</v>
      </c>
    </row>
    <row r="2" spans="1:11" x14ac:dyDescent="0.25">
      <c r="A2" s="2" t="s">
        <v>18</v>
      </c>
      <c r="B2" s="4">
        <v>45458</v>
      </c>
      <c r="C2" s="4">
        <v>45488</v>
      </c>
      <c r="D2" s="2" t="s">
        <v>596</v>
      </c>
      <c r="E2" s="2">
        <v>150000</v>
      </c>
      <c r="F2" s="2" t="s">
        <v>597</v>
      </c>
      <c r="G2" s="2" t="s">
        <v>40</v>
      </c>
      <c r="H2" s="111">
        <f>AVERAGEIFS('Engagement Summary'!F:F, 'Engagement Summary'!B:B, "*"&amp;LEFT(F2,5)&amp;"*", 'Engagement Summary'!A:A, "&lt;"&amp;B2, 'Engagement Summary'!A:A, "&gt;="&amp;B2-30)</f>
        <v>8.5549999999999997</v>
      </c>
      <c r="I2">
        <f>AVERAGEIFS('Engagement Summary'!F:F, 'Engagement Summary'!B:B, "*"&amp;LEFT(F2,5)&amp;"*", 'Engagement Summary'!A:A, "&gt;="&amp;B2, 'Engagement Summary'!A:A, "&lt;="&amp;C2)</f>
        <v>6.2439999999999998</v>
      </c>
      <c r="J2" s="45">
        <f>(I2-H2)/H2</f>
        <v>-0.27013442431326712</v>
      </c>
    </row>
    <row r="3" spans="1:11" x14ac:dyDescent="0.25">
      <c r="A3" s="2" t="s">
        <v>24</v>
      </c>
      <c r="B3" s="4">
        <v>45566</v>
      </c>
      <c r="C3" s="4">
        <v>45596</v>
      </c>
      <c r="D3" s="2" t="s">
        <v>598</v>
      </c>
      <c r="E3" s="2">
        <v>200000</v>
      </c>
      <c r="F3" s="2" t="s">
        <v>599</v>
      </c>
      <c r="G3" s="2" t="s">
        <v>600</v>
      </c>
      <c r="H3" s="111">
        <f>AVERAGEIFS('Engagement Summary'!F:F, 'Engagement Summary'!B:B, "*"&amp;LEFT(F3,5)&amp;"*", 'Engagement Summary'!A:A, "&lt;"&amp;B3, 'Engagement Summary'!A:A, "&gt;="&amp;B3-30)</f>
        <v>5.0619999999999994</v>
      </c>
      <c r="I3">
        <f>AVERAGEIFS('Engagement Summary'!F:F, 'Engagement Summary'!B:B, "*"&amp;LEFT(F3,5)&amp;"*", 'Engagement Summary'!A:A, "&gt;="&amp;B3, 'Engagement Summary'!A:A, "&lt;="&amp;C3)</f>
        <v>6.875</v>
      </c>
      <c r="J3" s="45">
        <f>(I3-H3)/H3</f>
        <v>0.3581588305017781</v>
      </c>
    </row>
    <row r="4" spans="1:11" x14ac:dyDescent="0.25">
      <c r="A4" s="2" t="s">
        <v>30</v>
      </c>
      <c r="B4" s="4">
        <v>45651</v>
      </c>
      <c r="C4" s="4">
        <v>45667</v>
      </c>
      <c r="D4" s="2" t="s">
        <v>601</v>
      </c>
      <c r="E4" s="2">
        <v>250000</v>
      </c>
      <c r="F4" s="2" t="s">
        <v>602</v>
      </c>
      <c r="G4" s="2" t="s">
        <v>603</v>
      </c>
      <c r="H4" s="111">
        <f>AVERAGEIFS('Engagement Summary'!F:F, 'Engagement Summary'!B:B, "*"&amp;LEFT(F4,5)&amp;"*", 'Engagement Summary'!A:A, "&lt;"&amp;B4, 'Engagement Summary'!A:A, "&gt;="&amp;B4-30)</f>
        <v>5.718</v>
      </c>
      <c r="I4">
        <f>AVERAGEIFS('Engagement Summary'!F:F, 'Engagement Summary'!B:B, "*"&amp;LEFT(F4,5)&amp;"*", 'Engagement Summary'!A:A, "&gt;="&amp;B4, 'Engagement Summary'!A:A, "&lt;="&amp;C4)</f>
        <v>5.6449999999999996</v>
      </c>
      <c r="J4" s="45">
        <f>(I4-H4)/H4</f>
        <v>-1.2766701643931514E-2</v>
      </c>
    </row>
    <row r="5" spans="1:11" x14ac:dyDescent="0.25">
      <c r="A5" s="2" t="s">
        <v>37</v>
      </c>
      <c r="B5" s="4">
        <v>45717</v>
      </c>
      <c r="C5" s="4">
        <v>45747</v>
      </c>
      <c r="D5" s="2" t="s">
        <v>604</v>
      </c>
      <c r="E5" s="2">
        <v>180000</v>
      </c>
      <c r="F5" s="2" t="s">
        <v>605</v>
      </c>
      <c r="G5" s="2" t="s">
        <v>606</v>
      </c>
      <c r="H5" s="111">
        <f>AVERAGEIFS('Engagement Summary'!F:F, 'Engagement Summary'!B:B, "*"&amp;LEFT(F5,5)&amp;"*", 'Engagement Summary'!A:A, "&lt;"&amp;B5, 'Engagement Summary'!A:A, "&gt;="&amp;B5-30)</f>
        <v>3.9249999999999998</v>
      </c>
      <c r="I5">
        <f>AVERAGEIFS('Engagement Summary'!F:F, 'Engagement Summary'!B:B, "*"&amp;LEFT(F5,5)&amp;"*", 'Engagement Summary'!A:A, "&gt;="&amp;B5, 'Engagement Summary'!A:A, "&lt;="&amp;C5)</f>
        <v>6.2780000000000005</v>
      </c>
      <c r="J5" s="45">
        <f>(I5-H5)/H5</f>
        <v>0.59949044585987277</v>
      </c>
    </row>
    <row r="6" spans="1:11" ht="15" customHeight="1" x14ac:dyDescent="0.25">
      <c r="A6" s="148"/>
      <c r="B6" s="151"/>
      <c r="C6" s="151"/>
      <c r="D6" s="148"/>
      <c r="E6" s="148"/>
      <c r="F6" s="148"/>
      <c r="G6" s="148"/>
      <c r="H6" s="152"/>
      <c r="I6" s="153"/>
      <c r="J6" s="154"/>
      <c r="K6" s="153"/>
    </row>
    <row r="7" spans="1:11" ht="15" customHeight="1" x14ac:dyDescent="0.25">
      <c r="A7" s="148"/>
      <c r="B7" s="151"/>
      <c r="C7" s="151"/>
      <c r="D7" s="148"/>
      <c r="E7" s="148"/>
      <c r="F7" s="148"/>
      <c r="G7" s="148"/>
      <c r="H7" s="152"/>
      <c r="I7" s="153"/>
      <c r="J7" s="154"/>
      <c r="K7" s="153"/>
    </row>
    <row r="8" spans="1:11" ht="15" customHeight="1" x14ac:dyDescent="0.25">
      <c r="A8" s="148"/>
      <c r="B8" s="151"/>
      <c r="C8" s="151"/>
      <c r="D8" s="148"/>
      <c r="E8" s="148"/>
      <c r="F8" s="148"/>
      <c r="G8" s="148"/>
      <c r="H8" s="152"/>
      <c r="I8" s="153"/>
      <c r="J8" s="154"/>
      <c r="K8" s="153"/>
    </row>
    <row r="9" spans="1:11" ht="15" customHeight="1" x14ac:dyDescent="0.25">
      <c r="A9" s="148"/>
      <c r="B9" s="151"/>
      <c r="C9" s="151"/>
      <c r="D9" s="148"/>
      <c r="E9" s="148"/>
      <c r="F9" s="148"/>
      <c r="G9" s="148"/>
      <c r="H9" s="152"/>
      <c r="I9" s="153"/>
      <c r="J9" s="154"/>
      <c r="K9" s="153"/>
    </row>
    <row r="10" spans="1:11" ht="15" customHeight="1" x14ac:dyDescent="0.25">
      <c r="A10" s="148"/>
      <c r="B10" s="151"/>
      <c r="C10" s="151"/>
      <c r="D10" s="148"/>
      <c r="E10" s="148"/>
      <c r="F10" s="148"/>
      <c r="G10" s="148"/>
      <c r="H10" s="152"/>
      <c r="I10" s="153"/>
      <c r="J10" s="154"/>
      <c r="K10" s="153"/>
    </row>
    <row r="11" spans="1:11" ht="15" customHeight="1" x14ac:dyDescent="0.25">
      <c r="A11" s="148"/>
      <c r="B11" s="151"/>
      <c r="C11" s="151"/>
      <c r="D11" s="148"/>
      <c r="E11" s="148"/>
      <c r="F11" s="148"/>
      <c r="G11" s="148"/>
      <c r="H11" s="152"/>
      <c r="I11" s="153"/>
      <c r="J11" s="154"/>
      <c r="K11" s="153"/>
    </row>
    <row r="12" spans="1:11" ht="15" customHeight="1" x14ac:dyDescent="0.25">
      <c r="A12" s="148"/>
      <c r="B12" s="151"/>
      <c r="C12" s="151"/>
      <c r="D12" s="148"/>
      <c r="E12" s="148"/>
      <c r="F12" s="148"/>
      <c r="G12" s="148"/>
      <c r="H12" s="152"/>
      <c r="I12" s="153"/>
      <c r="J12" s="154"/>
      <c r="K12" s="153"/>
    </row>
    <row r="13" spans="1:11" ht="15" customHeight="1" x14ac:dyDescent="0.25">
      <c r="A13" s="148"/>
      <c r="B13" s="151"/>
      <c r="C13" s="151"/>
      <c r="D13" s="148"/>
      <c r="E13" s="148"/>
      <c r="F13" s="148"/>
      <c r="G13" s="148"/>
      <c r="H13" s="152"/>
      <c r="I13" s="153"/>
      <c r="J13" s="154"/>
      <c r="K13" s="153"/>
    </row>
    <row r="14" spans="1:11" ht="15" customHeight="1" x14ac:dyDescent="0.25">
      <c r="A14" s="148"/>
      <c r="B14" s="151"/>
      <c r="C14" s="151"/>
      <c r="D14" s="148"/>
      <c r="E14" s="148"/>
      <c r="F14" s="148"/>
      <c r="G14" s="148"/>
      <c r="H14" s="152"/>
      <c r="I14" s="153"/>
      <c r="J14" s="154"/>
      <c r="K14" s="153"/>
    </row>
    <row r="15" spans="1:11" ht="15" customHeight="1" x14ac:dyDescent="0.25">
      <c r="A15" s="148"/>
      <c r="B15" s="151"/>
      <c r="C15" s="151"/>
      <c r="D15" s="148"/>
      <c r="E15" s="148"/>
      <c r="F15" s="148"/>
      <c r="G15" s="148"/>
      <c r="H15" s="152"/>
      <c r="I15" s="153"/>
      <c r="J15" s="154"/>
      <c r="K15" s="153"/>
    </row>
    <row r="16" spans="1:11" ht="15" customHeight="1" x14ac:dyDescent="0.25">
      <c r="A16" s="148"/>
      <c r="B16" s="151"/>
      <c r="C16" s="151"/>
      <c r="D16" s="148"/>
      <c r="E16" s="148"/>
      <c r="F16" s="148"/>
      <c r="G16" s="148"/>
      <c r="H16" s="152"/>
      <c r="I16" s="153"/>
      <c r="J16" s="154"/>
      <c r="K16" s="153"/>
    </row>
    <row r="17" spans="1:11" ht="15" customHeight="1" x14ac:dyDescent="0.25">
      <c r="A17" s="148"/>
      <c r="B17" s="151"/>
      <c r="C17" s="151"/>
      <c r="D17" s="148"/>
      <c r="E17" s="148"/>
      <c r="F17" s="148"/>
      <c r="G17" s="148"/>
      <c r="H17" s="152"/>
      <c r="I17" s="153"/>
      <c r="J17" s="154"/>
      <c r="K17" s="153"/>
    </row>
    <row r="18" spans="1:11" ht="15" customHeight="1" x14ac:dyDescent="0.25">
      <c r="A18" s="148"/>
      <c r="B18" s="151"/>
      <c r="C18" s="151"/>
      <c r="D18" s="148"/>
      <c r="E18" s="148"/>
      <c r="F18" s="148"/>
      <c r="G18" s="148"/>
      <c r="H18" s="152"/>
      <c r="I18" s="153"/>
      <c r="J18" s="154"/>
      <c r="K18" s="153"/>
    </row>
    <row r="19" spans="1:11" ht="15" customHeight="1" x14ac:dyDescent="0.25">
      <c r="A19" s="148"/>
      <c r="B19" s="151"/>
      <c r="C19" s="151"/>
      <c r="D19" s="148"/>
      <c r="E19" s="148"/>
      <c r="F19" s="148"/>
      <c r="G19" s="148"/>
      <c r="H19" s="152"/>
      <c r="I19" s="153"/>
      <c r="J19" s="154"/>
      <c r="K19" s="153"/>
    </row>
    <row r="20" spans="1:11" ht="15" customHeight="1" x14ac:dyDescent="0.25">
      <c r="A20" s="148"/>
      <c r="B20" s="151"/>
      <c r="C20" s="151"/>
      <c r="D20" s="148"/>
      <c r="E20" s="148"/>
      <c r="F20" s="148"/>
      <c r="G20" s="148"/>
      <c r="H20" s="152"/>
      <c r="I20" s="153"/>
      <c r="J20" s="154"/>
      <c r="K20" s="153"/>
    </row>
    <row r="21" spans="1:11" ht="15.75" customHeight="1" x14ac:dyDescent="0.25">
      <c r="A21" s="148"/>
      <c r="B21" s="151"/>
      <c r="C21" s="151"/>
      <c r="D21" s="148"/>
      <c r="E21" s="148"/>
      <c r="F21" s="148"/>
      <c r="G21" s="148"/>
      <c r="H21" s="152"/>
      <c r="I21" s="153"/>
      <c r="J21" s="154"/>
      <c r="K21" s="153"/>
    </row>
    <row r="22" spans="1:11" ht="15.75" customHeight="1" x14ac:dyDescent="0.25">
      <c r="A22" s="148"/>
      <c r="B22" s="151"/>
      <c r="C22" s="151"/>
      <c r="D22" s="148"/>
      <c r="E22" s="148"/>
      <c r="F22" s="148"/>
      <c r="G22" s="148"/>
      <c r="H22" s="152"/>
      <c r="I22" s="153"/>
      <c r="J22" s="154"/>
      <c r="K22" s="153"/>
    </row>
    <row r="23" spans="1:11" ht="15.75" customHeight="1" x14ac:dyDescent="0.25">
      <c r="A23" s="148"/>
      <c r="B23" s="151"/>
      <c r="C23" s="151"/>
      <c r="D23" s="148"/>
      <c r="E23" s="148"/>
      <c r="F23" s="148"/>
      <c r="G23" s="148"/>
      <c r="H23" s="152"/>
      <c r="I23" s="153"/>
      <c r="J23" s="154"/>
      <c r="K23" s="153"/>
    </row>
    <row r="24" spans="1:11" ht="15.75" customHeight="1" x14ac:dyDescent="0.25">
      <c r="A24" s="148"/>
      <c r="B24" s="151"/>
      <c r="C24" s="151"/>
      <c r="D24" s="148"/>
      <c r="E24" s="148"/>
      <c r="F24" s="148"/>
      <c r="G24" s="148"/>
      <c r="H24" s="152"/>
      <c r="I24" s="153"/>
      <c r="J24" s="154"/>
      <c r="K24" s="153"/>
    </row>
    <row r="25" spans="1:11" ht="15.75" customHeight="1" x14ac:dyDescent="0.25">
      <c r="A25" s="148"/>
      <c r="B25" s="151"/>
      <c r="C25" s="151"/>
      <c r="D25" s="148"/>
      <c r="E25" s="148"/>
      <c r="F25" s="148"/>
      <c r="G25" s="148"/>
      <c r="H25" s="152"/>
      <c r="I25" s="153"/>
      <c r="J25" s="154"/>
      <c r="K25" s="153"/>
    </row>
    <row r="26" spans="1:11" ht="15.75" customHeight="1" x14ac:dyDescent="0.25">
      <c r="A26" s="148"/>
      <c r="B26" s="151"/>
      <c r="C26" s="151"/>
      <c r="D26" s="148"/>
      <c r="E26" s="148"/>
      <c r="F26" s="148"/>
      <c r="G26" s="148"/>
      <c r="H26" s="152"/>
      <c r="I26" s="153"/>
      <c r="J26" s="154"/>
      <c r="K26" s="153"/>
    </row>
    <row r="27" spans="1:11" ht="15.75" customHeight="1" x14ac:dyDescent="0.25">
      <c r="A27" s="148"/>
      <c r="B27" s="151"/>
      <c r="C27" s="151"/>
      <c r="D27" s="148"/>
      <c r="E27" s="148"/>
      <c r="F27" s="148"/>
      <c r="G27" s="148"/>
      <c r="H27" s="152"/>
      <c r="I27" s="153"/>
      <c r="J27" s="154"/>
      <c r="K27" s="153"/>
    </row>
    <row r="28" spans="1:11" ht="15.75" customHeight="1" x14ac:dyDescent="0.25">
      <c r="A28" s="148"/>
      <c r="B28" s="151"/>
      <c r="C28" s="151"/>
      <c r="D28" s="148"/>
      <c r="E28" s="148"/>
      <c r="F28" s="148"/>
      <c r="G28" s="148"/>
      <c r="H28" s="152"/>
      <c r="I28" s="153"/>
      <c r="J28" s="154"/>
      <c r="K28" s="153"/>
    </row>
    <row r="29" spans="1:11" ht="15.75" customHeight="1" x14ac:dyDescent="0.25">
      <c r="A29" s="148"/>
      <c r="B29" s="151"/>
      <c r="C29" s="151"/>
      <c r="D29" s="148"/>
      <c r="E29" s="148"/>
      <c r="F29" s="148"/>
      <c r="G29" s="148"/>
      <c r="H29" s="152"/>
      <c r="I29" s="153"/>
      <c r="J29" s="154"/>
      <c r="K29" s="153"/>
    </row>
    <row r="30" spans="1:11" ht="15.75" customHeight="1" x14ac:dyDescent="0.25">
      <c r="A30" s="148"/>
      <c r="B30" s="151"/>
      <c r="C30" s="151"/>
      <c r="D30" s="148"/>
      <c r="E30" s="148"/>
      <c r="F30" s="148"/>
      <c r="G30" s="148"/>
      <c r="H30" s="152"/>
      <c r="I30" s="153"/>
      <c r="J30" s="154"/>
      <c r="K30" s="153"/>
    </row>
    <row r="31" spans="1:11" ht="15.75" customHeight="1" x14ac:dyDescent="0.25">
      <c r="A31" s="148"/>
      <c r="B31" s="151"/>
      <c r="C31" s="151"/>
      <c r="D31" s="148"/>
      <c r="E31" s="148"/>
      <c r="F31" s="148"/>
      <c r="G31" s="148"/>
      <c r="H31" s="152"/>
      <c r="I31" s="153"/>
      <c r="J31" s="154"/>
      <c r="K31" s="153"/>
    </row>
    <row r="32" spans="1:11" ht="15.75" customHeight="1" x14ac:dyDescent="0.25">
      <c r="A32" s="148"/>
      <c r="B32" s="151"/>
      <c r="C32" s="151"/>
      <c r="D32" s="148"/>
      <c r="E32" s="148"/>
      <c r="F32" s="148"/>
      <c r="G32" s="148"/>
      <c r="H32" s="152"/>
      <c r="I32" s="153"/>
      <c r="J32" s="154"/>
      <c r="K32" s="153"/>
    </row>
    <row r="33" spans="1:11" ht="15.75" customHeight="1" x14ac:dyDescent="0.25">
      <c r="A33" s="148"/>
      <c r="B33" s="151"/>
      <c r="C33" s="151"/>
      <c r="D33" s="148"/>
      <c r="E33" s="148"/>
      <c r="F33" s="148"/>
      <c r="G33" s="148"/>
      <c r="H33" s="152"/>
      <c r="I33" s="153"/>
      <c r="J33" s="154"/>
      <c r="K33" s="153"/>
    </row>
    <row r="34" spans="1:11" ht="15.75" customHeight="1" x14ac:dyDescent="0.25">
      <c r="A34" s="148"/>
      <c r="B34" s="151"/>
      <c r="C34" s="151"/>
      <c r="D34" s="148"/>
      <c r="E34" s="148"/>
      <c r="F34" s="148"/>
      <c r="G34" s="148"/>
      <c r="H34" s="152"/>
      <c r="I34" s="153"/>
      <c r="J34" s="154"/>
      <c r="K34" s="153"/>
    </row>
    <row r="35" spans="1:11" ht="15.75" customHeight="1" x14ac:dyDescent="0.25">
      <c r="A35" s="148"/>
      <c r="B35" s="151"/>
      <c r="C35" s="151"/>
      <c r="D35" s="148"/>
      <c r="E35" s="148"/>
      <c r="F35" s="148"/>
      <c r="G35" s="148"/>
      <c r="H35" s="152"/>
      <c r="I35" s="153"/>
      <c r="J35" s="154"/>
      <c r="K35" s="153"/>
    </row>
    <row r="36" spans="1:11" ht="15.75" customHeight="1" x14ac:dyDescent="0.25">
      <c r="A36" s="148"/>
      <c r="B36" s="151"/>
      <c r="C36" s="151"/>
      <c r="D36" s="148"/>
      <c r="E36" s="148"/>
      <c r="F36" s="148"/>
      <c r="G36" s="148"/>
      <c r="H36" s="152"/>
      <c r="I36" s="153"/>
      <c r="J36" s="154"/>
      <c r="K36" s="153"/>
    </row>
    <row r="37" spans="1:11" ht="15.75" customHeight="1" x14ac:dyDescent="0.25">
      <c r="A37" s="148"/>
      <c r="B37" s="151"/>
      <c r="C37" s="151"/>
      <c r="D37" s="148"/>
      <c r="E37" s="148"/>
      <c r="F37" s="148"/>
      <c r="G37" s="148"/>
      <c r="H37" s="152"/>
      <c r="I37" s="153"/>
      <c r="J37" s="154"/>
      <c r="K37" s="153"/>
    </row>
    <row r="38" spans="1:11" ht="15.75" customHeight="1" x14ac:dyDescent="0.25">
      <c r="A38" s="148"/>
      <c r="B38" s="151"/>
      <c r="C38" s="151"/>
      <c r="D38" s="148"/>
      <c r="E38" s="148"/>
      <c r="F38" s="148"/>
      <c r="G38" s="148"/>
      <c r="H38" s="152"/>
      <c r="I38" s="153"/>
      <c r="J38" s="154"/>
      <c r="K38" s="153"/>
    </row>
    <row r="39" spans="1:11" ht="15.75" customHeight="1" x14ac:dyDescent="0.25">
      <c r="A39" s="148"/>
      <c r="B39" s="151"/>
      <c r="C39" s="151"/>
      <c r="D39" s="148"/>
      <c r="E39" s="148"/>
      <c r="F39" s="148"/>
      <c r="G39" s="148"/>
      <c r="H39" s="152"/>
      <c r="I39" s="153"/>
      <c r="J39" s="154"/>
      <c r="K39" s="153"/>
    </row>
    <row r="40" spans="1:11" ht="15.75" customHeight="1" x14ac:dyDescent="0.25">
      <c r="A40" s="148"/>
      <c r="B40" s="151"/>
      <c r="C40" s="151"/>
      <c r="D40" s="148"/>
      <c r="E40" s="148"/>
      <c r="F40" s="148"/>
      <c r="G40" s="148"/>
      <c r="H40" s="152"/>
      <c r="I40" s="153"/>
      <c r="J40" s="154"/>
      <c r="K40" s="153"/>
    </row>
    <row r="41" spans="1:11" ht="15.75" customHeight="1" x14ac:dyDescent="0.25">
      <c r="A41" s="148"/>
      <c r="B41" s="151"/>
      <c r="C41" s="151"/>
      <c r="D41" s="148"/>
      <c r="E41" s="148"/>
      <c r="F41" s="148"/>
      <c r="G41" s="148"/>
      <c r="H41" s="152"/>
      <c r="I41" s="153"/>
      <c r="J41" s="154"/>
      <c r="K41" s="153"/>
    </row>
    <row r="42" spans="1:11" ht="15.75" customHeight="1" x14ac:dyDescent="0.25">
      <c r="A42" s="148"/>
      <c r="B42" s="151"/>
      <c r="C42" s="151"/>
      <c r="D42" s="148"/>
      <c r="E42" s="148"/>
      <c r="F42" s="148"/>
      <c r="G42" s="148"/>
      <c r="H42" s="152"/>
      <c r="I42" s="153"/>
      <c r="J42" s="154"/>
      <c r="K42" s="153"/>
    </row>
    <row r="43" spans="1:11" ht="15.75" customHeight="1" x14ac:dyDescent="0.25">
      <c r="A43" s="148"/>
      <c r="B43" s="151"/>
      <c r="C43" s="151"/>
      <c r="D43" s="148"/>
      <c r="E43" s="148"/>
      <c r="F43" s="148"/>
      <c r="G43" s="148"/>
      <c r="H43" s="152"/>
      <c r="I43" s="153"/>
      <c r="J43" s="154"/>
      <c r="K43" s="153"/>
    </row>
    <row r="44" spans="1:11" ht="15.75" customHeight="1" x14ac:dyDescent="0.25">
      <c r="A44" s="148"/>
      <c r="B44" s="151"/>
      <c r="C44" s="151"/>
      <c r="D44" s="148"/>
      <c r="E44" s="148"/>
      <c r="F44" s="148"/>
      <c r="G44" s="148"/>
      <c r="H44" s="152"/>
      <c r="I44" s="153"/>
      <c r="J44" s="154"/>
      <c r="K44" s="153"/>
    </row>
    <row r="45" spans="1:11" ht="15.75" customHeight="1" x14ac:dyDescent="0.25">
      <c r="A45" s="148"/>
      <c r="B45" s="151"/>
      <c r="C45" s="151"/>
      <c r="D45" s="148"/>
      <c r="E45" s="148"/>
      <c r="F45" s="148"/>
      <c r="G45" s="148"/>
      <c r="H45" s="152"/>
      <c r="I45" s="153"/>
      <c r="J45" s="154"/>
      <c r="K45" s="153"/>
    </row>
    <row r="46" spans="1:11" ht="15.75" customHeight="1" x14ac:dyDescent="0.25">
      <c r="A46" s="148"/>
      <c r="B46" s="151"/>
      <c r="C46" s="151"/>
      <c r="D46" s="148"/>
      <c r="E46" s="148"/>
      <c r="F46" s="148"/>
      <c r="G46" s="148"/>
      <c r="H46" s="152"/>
      <c r="I46" s="153"/>
      <c r="J46" s="154"/>
      <c r="K46" s="153"/>
    </row>
    <row r="47" spans="1:11" ht="15.75" customHeight="1" x14ac:dyDescent="0.25">
      <c r="A47" s="148"/>
      <c r="B47" s="151"/>
      <c r="C47" s="151"/>
      <c r="D47" s="148"/>
      <c r="E47" s="148"/>
      <c r="F47" s="148"/>
      <c r="G47" s="148"/>
      <c r="H47" s="152"/>
      <c r="I47" s="153"/>
      <c r="J47" s="154"/>
      <c r="K47" s="153"/>
    </row>
    <row r="48" spans="1:11" ht="15.75" customHeight="1" x14ac:dyDescent="0.25">
      <c r="A48" s="148"/>
      <c r="B48" s="151"/>
      <c r="C48" s="151"/>
      <c r="D48" s="148"/>
      <c r="E48" s="148"/>
      <c r="F48" s="148"/>
      <c r="G48" s="148"/>
      <c r="H48" s="152"/>
      <c r="I48" s="153"/>
      <c r="J48" s="154"/>
      <c r="K48" s="153"/>
    </row>
    <row r="49" spans="1:11" ht="15.75" customHeight="1" x14ac:dyDescent="0.25">
      <c r="A49" s="148"/>
      <c r="B49" s="151"/>
      <c r="C49" s="151"/>
      <c r="D49" s="148"/>
      <c r="E49" s="148"/>
      <c r="F49" s="148"/>
      <c r="G49" s="148"/>
      <c r="H49" s="152"/>
      <c r="I49" s="153"/>
      <c r="J49" s="154"/>
      <c r="K49" s="153"/>
    </row>
    <row r="50" spans="1:11" ht="15.75" customHeight="1" x14ac:dyDescent="0.25">
      <c r="A50" s="148"/>
      <c r="B50" s="151"/>
      <c r="C50" s="151"/>
      <c r="D50" s="148"/>
      <c r="E50" s="148"/>
      <c r="F50" s="148"/>
      <c r="G50" s="148"/>
      <c r="H50" s="152"/>
      <c r="I50" s="153"/>
      <c r="J50" s="154"/>
      <c r="K50" s="153"/>
    </row>
    <row r="51" spans="1:11" ht="15.75" customHeight="1" x14ac:dyDescent="0.25">
      <c r="A51" s="148"/>
      <c r="B51" s="151"/>
      <c r="C51" s="151"/>
      <c r="D51" s="148"/>
      <c r="E51" s="148"/>
      <c r="F51" s="148"/>
      <c r="G51" s="148"/>
      <c r="H51" s="152"/>
      <c r="I51" s="153"/>
      <c r="J51" s="154"/>
      <c r="K51" s="153"/>
    </row>
    <row r="52" spans="1:11" ht="15.75" customHeight="1" x14ac:dyDescent="0.25">
      <c r="A52" s="148"/>
      <c r="B52" s="151"/>
      <c r="C52" s="151"/>
      <c r="D52" s="148"/>
      <c r="E52" s="148"/>
      <c r="F52" s="148"/>
      <c r="G52" s="148"/>
      <c r="H52" s="152"/>
      <c r="I52" s="153"/>
      <c r="J52" s="154"/>
      <c r="K52" s="153"/>
    </row>
    <row r="53" spans="1:11" ht="15.75" customHeight="1" x14ac:dyDescent="0.25">
      <c r="A53" s="148"/>
      <c r="B53" s="151"/>
      <c r="C53" s="151"/>
      <c r="D53" s="148"/>
      <c r="E53" s="148"/>
      <c r="F53" s="148"/>
      <c r="G53" s="148"/>
      <c r="H53" s="152"/>
      <c r="I53" s="153"/>
      <c r="J53" s="154"/>
      <c r="K53" s="153"/>
    </row>
    <row r="54" spans="1:11" ht="15.75" customHeight="1" x14ac:dyDescent="0.25">
      <c r="A54" s="148"/>
      <c r="B54" s="151"/>
      <c r="C54" s="151"/>
      <c r="D54" s="148"/>
      <c r="E54" s="148"/>
      <c r="F54" s="148"/>
      <c r="G54" s="148"/>
      <c r="H54" s="152"/>
      <c r="I54" s="153"/>
      <c r="J54" s="154"/>
      <c r="K54" s="153"/>
    </row>
    <row r="55" spans="1:11" ht="15.75" customHeight="1" x14ac:dyDescent="0.25">
      <c r="A55" s="148"/>
      <c r="B55" s="151"/>
      <c r="C55" s="151"/>
      <c r="D55" s="148"/>
      <c r="E55" s="148"/>
      <c r="F55" s="148"/>
      <c r="G55" s="148"/>
      <c r="H55" s="152"/>
      <c r="I55" s="153"/>
      <c r="J55" s="154"/>
      <c r="K55" s="153"/>
    </row>
    <row r="56" spans="1:11" ht="15.75" customHeight="1" x14ac:dyDescent="0.25">
      <c r="A56" s="148"/>
      <c r="B56" s="151"/>
      <c r="C56" s="151"/>
      <c r="D56" s="148"/>
      <c r="E56" s="148"/>
      <c r="F56" s="148"/>
      <c r="G56" s="148"/>
      <c r="H56" s="152"/>
      <c r="I56" s="153"/>
      <c r="J56" s="154"/>
      <c r="K56" s="153"/>
    </row>
    <row r="57" spans="1:11" ht="15.75" customHeight="1" x14ac:dyDescent="0.25">
      <c r="A57" s="148"/>
      <c r="B57" s="151"/>
      <c r="C57" s="151"/>
      <c r="D57" s="148"/>
      <c r="E57" s="148"/>
      <c r="F57" s="148"/>
      <c r="G57" s="148"/>
      <c r="H57" s="152"/>
      <c r="I57" s="153"/>
      <c r="J57" s="154"/>
      <c r="K57" s="153"/>
    </row>
    <row r="58" spans="1:11" ht="15.75" customHeight="1" x14ac:dyDescent="0.25">
      <c r="A58" s="148"/>
      <c r="B58" s="151"/>
      <c r="C58" s="151"/>
      <c r="D58" s="148"/>
      <c r="E58" s="148"/>
      <c r="F58" s="148"/>
      <c r="G58" s="148"/>
      <c r="H58" s="152"/>
      <c r="I58" s="153"/>
      <c r="J58" s="154"/>
      <c r="K58" s="153"/>
    </row>
    <row r="59" spans="1:11" ht="15.75" customHeight="1" x14ac:dyDescent="0.25">
      <c r="A59" s="148"/>
      <c r="B59" s="151"/>
      <c r="C59" s="151"/>
      <c r="D59" s="148"/>
      <c r="E59" s="148"/>
      <c r="F59" s="148"/>
      <c r="G59" s="148"/>
      <c r="H59" s="152"/>
      <c r="I59" s="153"/>
      <c r="J59" s="154"/>
      <c r="K59" s="153"/>
    </row>
    <row r="60" spans="1:11" ht="15.75" customHeight="1" x14ac:dyDescent="0.25">
      <c r="A60" s="148"/>
      <c r="B60" s="151"/>
      <c r="C60" s="151"/>
      <c r="D60" s="148"/>
      <c r="E60" s="148"/>
      <c r="F60" s="148"/>
      <c r="G60" s="148"/>
      <c r="H60" s="152"/>
      <c r="I60" s="153"/>
      <c r="J60" s="154"/>
      <c r="K60" s="153"/>
    </row>
    <row r="61" spans="1:11" ht="15.75" customHeight="1" x14ac:dyDescent="0.25">
      <c r="A61" s="148"/>
      <c r="B61" s="151"/>
      <c r="C61" s="151"/>
      <c r="D61" s="148"/>
      <c r="E61" s="148"/>
      <c r="F61" s="148"/>
      <c r="G61" s="148"/>
      <c r="H61" s="152"/>
      <c r="I61" s="153"/>
      <c r="J61" s="154"/>
      <c r="K61" s="153"/>
    </row>
    <row r="62" spans="1:11" ht="15.75" customHeight="1" x14ac:dyDescent="0.25">
      <c r="A62" s="148"/>
      <c r="B62" s="151"/>
      <c r="C62" s="151"/>
      <c r="D62" s="148"/>
      <c r="E62" s="148"/>
      <c r="F62" s="148"/>
      <c r="G62" s="148"/>
      <c r="H62" s="152"/>
      <c r="I62" s="153"/>
      <c r="J62" s="154"/>
      <c r="K62" s="153"/>
    </row>
    <row r="63" spans="1:11" ht="15.75" customHeight="1" x14ac:dyDescent="0.25">
      <c r="A63" s="148"/>
      <c r="B63" s="151"/>
      <c r="C63" s="151"/>
      <c r="D63" s="148"/>
      <c r="E63" s="148"/>
      <c r="F63" s="148"/>
      <c r="G63" s="148"/>
      <c r="H63" s="152"/>
      <c r="I63" s="153"/>
      <c r="J63" s="154"/>
      <c r="K63" s="153"/>
    </row>
    <row r="64" spans="1:11" ht="15.75" customHeight="1" x14ac:dyDescent="0.25">
      <c r="A64" s="148"/>
      <c r="B64" s="151"/>
      <c r="C64" s="151"/>
      <c r="D64" s="148"/>
      <c r="E64" s="148"/>
      <c r="F64" s="148"/>
      <c r="G64" s="148"/>
      <c r="H64" s="152"/>
      <c r="I64" s="153"/>
      <c r="J64" s="154"/>
      <c r="K64" s="153"/>
    </row>
    <row r="65" spans="1:11" ht="15.75" customHeight="1" x14ac:dyDescent="0.25">
      <c r="A65" s="148"/>
      <c r="B65" s="151"/>
      <c r="C65" s="151"/>
      <c r="D65" s="148"/>
      <c r="E65" s="148"/>
      <c r="F65" s="148"/>
      <c r="G65" s="148"/>
      <c r="H65" s="152"/>
      <c r="I65" s="153"/>
      <c r="J65" s="154"/>
      <c r="K65" s="153"/>
    </row>
    <row r="66" spans="1:11" ht="15.75" customHeight="1" x14ac:dyDescent="0.25">
      <c r="A66" s="148"/>
      <c r="B66" s="151"/>
      <c r="C66" s="151"/>
      <c r="D66" s="148"/>
      <c r="E66" s="148"/>
      <c r="F66" s="148"/>
      <c r="G66" s="148"/>
      <c r="H66" s="152"/>
      <c r="I66" s="153"/>
      <c r="J66" s="154"/>
      <c r="K66" s="153"/>
    </row>
    <row r="67" spans="1:11" ht="15.75" customHeight="1" x14ac:dyDescent="0.25">
      <c r="A67" s="148"/>
      <c r="B67" s="151"/>
      <c r="C67" s="151"/>
      <c r="D67" s="148"/>
      <c r="E67" s="148"/>
      <c r="F67" s="148"/>
      <c r="G67" s="148"/>
      <c r="H67" s="152"/>
      <c r="I67" s="153"/>
      <c r="J67" s="154"/>
      <c r="K67" s="153"/>
    </row>
    <row r="68" spans="1:11" ht="15.75" customHeight="1" x14ac:dyDescent="0.25">
      <c r="A68" s="148"/>
      <c r="B68" s="151"/>
      <c r="C68" s="151"/>
      <c r="D68" s="148"/>
      <c r="E68" s="148"/>
      <c r="F68" s="148"/>
      <c r="G68" s="148"/>
      <c r="H68" s="152"/>
      <c r="I68" s="153"/>
      <c r="J68" s="154"/>
      <c r="K68" s="153"/>
    </row>
    <row r="69" spans="1:11" ht="15.75" customHeight="1" x14ac:dyDescent="0.25">
      <c r="A69" s="148"/>
      <c r="B69" s="151"/>
      <c r="C69" s="151"/>
      <c r="D69" s="148"/>
      <c r="E69" s="148"/>
      <c r="F69" s="148"/>
      <c r="G69" s="148"/>
      <c r="H69" s="152"/>
      <c r="I69" s="153"/>
      <c r="J69" s="154"/>
      <c r="K69" s="153"/>
    </row>
    <row r="70" spans="1:11" ht="15.75" customHeight="1" x14ac:dyDescent="0.25">
      <c r="A70" s="148"/>
      <c r="B70" s="151"/>
      <c r="C70" s="151"/>
      <c r="D70" s="148"/>
      <c r="E70" s="148"/>
      <c r="F70" s="148"/>
      <c r="G70" s="148"/>
      <c r="H70" s="152"/>
      <c r="I70" s="153"/>
      <c r="J70" s="154"/>
      <c r="K70" s="153"/>
    </row>
    <row r="71" spans="1:11" ht="15.75" customHeight="1" x14ac:dyDescent="0.25">
      <c r="A71" s="148"/>
      <c r="B71" s="151"/>
      <c r="C71" s="151"/>
      <c r="D71" s="148"/>
      <c r="E71" s="148"/>
      <c r="F71" s="148"/>
      <c r="G71" s="148"/>
      <c r="H71" s="152"/>
      <c r="I71" s="153"/>
      <c r="J71" s="154"/>
      <c r="K71" s="153"/>
    </row>
    <row r="72" spans="1:11" ht="15.75" customHeight="1" x14ac:dyDescent="0.25">
      <c r="A72" s="148"/>
      <c r="B72" s="151"/>
      <c r="C72" s="151"/>
      <c r="D72" s="148"/>
      <c r="E72" s="148"/>
      <c r="F72" s="148"/>
      <c r="G72" s="148"/>
      <c r="H72" s="152"/>
      <c r="I72" s="153"/>
      <c r="J72" s="154"/>
      <c r="K72" s="153"/>
    </row>
    <row r="73" spans="1:11" ht="15.75" customHeight="1" x14ac:dyDescent="0.25">
      <c r="A73" s="148"/>
      <c r="B73" s="151"/>
      <c r="C73" s="151"/>
      <c r="D73" s="148"/>
      <c r="E73" s="148"/>
      <c r="F73" s="148"/>
      <c r="G73" s="148"/>
      <c r="H73" s="152"/>
      <c r="I73" s="153"/>
      <c r="J73" s="154"/>
      <c r="K73" s="153"/>
    </row>
    <row r="74" spans="1:11" ht="15.75" customHeight="1" x14ac:dyDescent="0.25">
      <c r="A74" s="148"/>
      <c r="B74" s="151"/>
      <c r="C74" s="151"/>
      <c r="D74" s="148"/>
      <c r="E74" s="148"/>
      <c r="F74" s="148"/>
      <c r="G74" s="148"/>
      <c r="H74" s="152"/>
      <c r="I74" s="153"/>
      <c r="J74" s="154"/>
      <c r="K74" s="153"/>
    </row>
    <row r="75" spans="1:11" ht="15.75" customHeight="1" x14ac:dyDescent="0.25">
      <c r="A75" s="148"/>
      <c r="B75" s="151"/>
      <c r="C75" s="151"/>
      <c r="D75" s="148"/>
      <c r="E75" s="148"/>
      <c r="F75" s="148"/>
      <c r="G75" s="148"/>
      <c r="H75" s="152"/>
      <c r="I75" s="153"/>
      <c r="J75" s="154"/>
      <c r="K75" s="153"/>
    </row>
    <row r="76" spans="1:11" ht="15.75" customHeight="1" x14ac:dyDescent="0.25">
      <c r="A76" s="148"/>
      <c r="B76" s="151"/>
      <c r="C76" s="151"/>
      <c r="D76" s="148"/>
      <c r="E76" s="148"/>
      <c r="F76" s="148"/>
      <c r="G76" s="148"/>
      <c r="H76" s="152"/>
      <c r="I76" s="153"/>
      <c r="J76" s="154"/>
      <c r="K76" s="153"/>
    </row>
    <row r="77" spans="1:11" ht="15.75" customHeight="1" x14ac:dyDescent="0.25">
      <c r="A77" s="148"/>
      <c r="B77" s="151"/>
      <c r="C77" s="151"/>
      <c r="D77" s="148"/>
      <c r="E77" s="148"/>
      <c r="F77" s="148"/>
      <c r="G77" s="148"/>
      <c r="H77" s="152"/>
      <c r="I77" s="153"/>
      <c r="J77" s="154"/>
      <c r="K77" s="153"/>
    </row>
    <row r="78" spans="1:11" ht="15.75" customHeight="1" x14ac:dyDescent="0.25">
      <c r="A78" s="148"/>
      <c r="B78" s="151"/>
      <c r="C78" s="151"/>
      <c r="D78" s="148"/>
      <c r="E78" s="148"/>
      <c r="F78" s="148"/>
      <c r="G78" s="148"/>
      <c r="H78" s="152"/>
      <c r="I78" s="153"/>
      <c r="J78" s="154"/>
      <c r="K78" s="153"/>
    </row>
    <row r="79" spans="1:11" ht="15.75" customHeight="1" x14ac:dyDescent="0.25">
      <c r="A79" s="148"/>
      <c r="B79" s="151"/>
      <c r="C79" s="151"/>
      <c r="D79" s="148"/>
      <c r="E79" s="148"/>
      <c r="F79" s="148"/>
      <c r="G79" s="148"/>
      <c r="H79" s="152"/>
      <c r="I79" s="153"/>
      <c r="J79" s="154"/>
      <c r="K79" s="153"/>
    </row>
    <row r="80" spans="1:11" ht="15.75" customHeight="1" x14ac:dyDescent="0.25">
      <c r="A80" s="148"/>
      <c r="B80" s="151"/>
      <c r="C80" s="151"/>
      <c r="D80" s="148"/>
      <c r="E80" s="148"/>
      <c r="F80" s="148"/>
      <c r="G80" s="148"/>
      <c r="H80" s="152"/>
      <c r="I80" s="153"/>
      <c r="J80" s="154"/>
      <c r="K80" s="153"/>
    </row>
    <row r="81" spans="1:11" ht="15.75" customHeight="1" x14ac:dyDescent="0.25">
      <c r="A81" s="148"/>
      <c r="B81" s="151"/>
      <c r="C81" s="151"/>
      <c r="D81" s="148"/>
      <c r="E81" s="148"/>
      <c r="F81" s="148"/>
      <c r="G81" s="148"/>
      <c r="H81" s="152"/>
      <c r="I81" s="153"/>
      <c r="J81" s="154"/>
      <c r="K81" s="153"/>
    </row>
    <row r="82" spans="1:11" ht="15.75" customHeight="1" x14ac:dyDescent="0.25">
      <c r="A82" s="148"/>
      <c r="B82" s="151"/>
      <c r="C82" s="151"/>
      <c r="D82" s="148"/>
      <c r="E82" s="148"/>
      <c r="F82" s="148"/>
      <c r="G82" s="148"/>
      <c r="H82" s="152"/>
      <c r="I82" s="153"/>
      <c r="J82" s="154"/>
      <c r="K82" s="153"/>
    </row>
    <row r="83" spans="1:11" ht="15.75" customHeight="1" x14ac:dyDescent="0.25">
      <c r="A83" s="148"/>
      <c r="B83" s="151"/>
      <c r="C83" s="151"/>
      <c r="D83" s="148"/>
      <c r="E83" s="148"/>
      <c r="F83" s="148"/>
      <c r="G83" s="148"/>
      <c r="H83" s="152"/>
      <c r="I83" s="153"/>
      <c r="J83" s="154"/>
      <c r="K83" s="153"/>
    </row>
    <row r="84" spans="1:11" ht="15.75" customHeight="1" x14ac:dyDescent="0.25">
      <c r="A84" s="148"/>
      <c r="B84" s="151"/>
      <c r="C84" s="151"/>
      <c r="D84" s="148"/>
      <c r="E84" s="148"/>
      <c r="F84" s="148"/>
      <c r="G84" s="148"/>
      <c r="H84" s="152"/>
      <c r="I84" s="153"/>
      <c r="J84" s="154"/>
      <c r="K84" s="153"/>
    </row>
    <row r="85" spans="1:11" ht="15.75" customHeight="1" x14ac:dyDescent="0.25">
      <c r="A85" s="148"/>
      <c r="B85" s="151"/>
      <c r="C85" s="151"/>
      <c r="D85" s="148"/>
      <c r="E85" s="148"/>
      <c r="F85" s="148"/>
      <c r="G85" s="148"/>
      <c r="H85" s="152"/>
      <c r="I85" s="153"/>
      <c r="J85" s="154"/>
      <c r="K85" s="153"/>
    </row>
    <row r="86" spans="1:11" ht="15.75" customHeight="1" x14ac:dyDescent="0.25">
      <c r="A86" s="148"/>
      <c r="B86" s="151"/>
      <c r="C86" s="151"/>
      <c r="D86" s="148"/>
      <c r="E86" s="148"/>
      <c r="F86" s="148"/>
      <c r="G86" s="148"/>
      <c r="H86" s="152"/>
      <c r="I86" s="153"/>
      <c r="J86" s="154"/>
      <c r="K86" s="153"/>
    </row>
    <row r="87" spans="1:11" ht="15.75" customHeight="1" x14ac:dyDescent="0.25">
      <c r="A87" s="148"/>
      <c r="B87" s="151"/>
      <c r="C87" s="151"/>
      <c r="D87" s="148"/>
      <c r="E87" s="148"/>
      <c r="F87" s="148"/>
      <c r="G87" s="148"/>
      <c r="H87" s="152"/>
      <c r="I87" s="153"/>
      <c r="J87" s="154"/>
      <c r="K87" s="153"/>
    </row>
    <row r="88" spans="1:11" ht="15.75" customHeight="1" x14ac:dyDescent="0.25">
      <c r="A88" s="148"/>
      <c r="B88" s="151"/>
      <c r="C88" s="151"/>
      <c r="D88" s="148"/>
      <c r="E88" s="148"/>
      <c r="F88" s="148"/>
      <c r="G88" s="148"/>
      <c r="H88" s="152"/>
      <c r="I88" s="153"/>
      <c r="J88" s="154"/>
      <c r="K88" s="153"/>
    </row>
    <row r="89" spans="1:11" ht="15.75" customHeight="1" x14ac:dyDescent="0.25">
      <c r="A89" s="148"/>
      <c r="B89" s="151"/>
      <c r="C89" s="151"/>
      <c r="D89" s="148"/>
      <c r="E89" s="148"/>
      <c r="F89" s="148"/>
      <c r="G89" s="148"/>
      <c r="H89" s="152"/>
      <c r="I89" s="153"/>
      <c r="J89" s="154"/>
      <c r="K89" s="153"/>
    </row>
    <row r="90" spans="1:11" ht="15.75" customHeight="1" x14ac:dyDescent="0.25">
      <c r="A90" s="148"/>
      <c r="B90" s="151"/>
      <c r="C90" s="151"/>
      <c r="D90" s="148"/>
      <c r="E90" s="148"/>
      <c r="F90" s="148"/>
      <c r="G90" s="148"/>
      <c r="H90" s="152"/>
      <c r="I90" s="153"/>
      <c r="J90" s="154"/>
      <c r="K90" s="153"/>
    </row>
    <row r="91" spans="1:11" ht="15.75" customHeight="1" x14ac:dyDescent="0.25">
      <c r="A91" s="148"/>
      <c r="B91" s="151"/>
      <c r="C91" s="151"/>
      <c r="D91" s="148"/>
      <c r="E91" s="148"/>
      <c r="F91" s="148"/>
      <c r="G91" s="148"/>
      <c r="H91" s="152"/>
      <c r="I91" s="153"/>
      <c r="J91" s="154"/>
      <c r="K91" s="153"/>
    </row>
    <row r="92" spans="1:11" ht="15.75" customHeight="1" x14ac:dyDescent="0.25">
      <c r="A92" s="148"/>
      <c r="B92" s="151"/>
      <c r="C92" s="151"/>
      <c r="D92" s="148"/>
      <c r="E92" s="148"/>
      <c r="F92" s="148"/>
      <c r="G92" s="148"/>
      <c r="H92" s="152"/>
      <c r="I92" s="153"/>
      <c r="J92" s="154"/>
      <c r="K92" s="153"/>
    </row>
    <row r="93" spans="1:11" ht="15.75" customHeight="1" x14ac:dyDescent="0.25">
      <c r="A93" s="148"/>
      <c r="B93" s="151"/>
      <c r="C93" s="151"/>
      <c r="D93" s="148"/>
      <c r="E93" s="148"/>
      <c r="F93" s="148"/>
      <c r="G93" s="148"/>
      <c r="H93" s="152"/>
      <c r="I93" s="153"/>
      <c r="J93" s="154"/>
      <c r="K93" s="153"/>
    </row>
    <row r="94" spans="1:11" ht="15.75" customHeight="1" x14ac:dyDescent="0.25">
      <c r="A94" s="148"/>
      <c r="B94" s="151"/>
      <c r="C94" s="151"/>
      <c r="D94" s="148"/>
      <c r="E94" s="148"/>
      <c r="F94" s="148"/>
      <c r="G94" s="148"/>
      <c r="H94" s="152"/>
      <c r="I94" s="153"/>
      <c r="J94" s="154"/>
      <c r="K94" s="153"/>
    </row>
    <row r="95" spans="1:11" ht="15.75" customHeight="1" x14ac:dyDescent="0.25">
      <c r="A95" s="148"/>
      <c r="B95" s="151"/>
      <c r="C95" s="151"/>
      <c r="D95" s="148"/>
      <c r="E95" s="148"/>
      <c r="F95" s="148"/>
      <c r="G95" s="148"/>
      <c r="H95" s="152"/>
      <c r="I95" s="153"/>
      <c r="J95" s="154"/>
      <c r="K95" s="153"/>
    </row>
    <row r="96" spans="1:11" ht="15.75" customHeight="1" x14ac:dyDescent="0.25">
      <c r="A96" s="148"/>
      <c r="B96" s="151"/>
      <c r="C96" s="151"/>
      <c r="D96" s="148"/>
      <c r="E96" s="148"/>
      <c r="F96" s="148"/>
      <c r="G96" s="148"/>
      <c r="H96" s="152"/>
      <c r="I96" s="153"/>
      <c r="J96" s="154"/>
      <c r="K96" s="153"/>
    </row>
    <row r="97" spans="1:11" ht="15.75" customHeight="1" x14ac:dyDescent="0.25">
      <c r="A97" s="148"/>
      <c r="B97" s="151"/>
      <c r="C97" s="151"/>
      <c r="D97" s="148"/>
      <c r="E97" s="148"/>
      <c r="F97" s="148"/>
      <c r="G97" s="148"/>
      <c r="H97" s="152"/>
      <c r="I97" s="153"/>
      <c r="J97" s="154"/>
      <c r="K97" s="153"/>
    </row>
    <row r="98" spans="1:11" ht="15.75" customHeight="1" x14ac:dyDescent="0.25">
      <c r="A98" s="148"/>
      <c r="B98" s="151"/>
      <c r="C98" s="151"/>
      <c r="D98" s="148"/>
      <c r="E98" s="148"/>
      <c r="F98" s="148"/>
      <c r="G98" s="148"/>
      <c r="H98" s="152"/>
      <c r="I98" s="153"/>
      <c r="J98" s="154"/>
      <c r="K98" s="153"/>
    </row>
    <row r="99" spans="1:11" ht="15.75" customHeight="1" x14ac:dyDescent="0.25">
      <c r="A99" s="148"/>
      <c r="B99" s="151"/>
      <c r="C99" s="151"/>
      <c r="D99" s="148"/>
      <c r="E99" s="148"/>
      <c r="F99" s="148"/>
      <c r="G99" s="148"/>
      <c r="H99" s="152"/>
      <c r="I99" s="153"/>
      <c r="J99" s="154"/>
      <c r="K99" s="153"/>
    </row>
    <row r="100" spans="1:11" ht="15.75" customHeight="1" x14ac:dyDescent="0.25">
      <c r="A100" s="148"/>
      <c r="B100" s="151"/>
      <c r="C100" s="151"/>
      <c r="D100" s="148"/>
      <c r="E100" s="148"/>
      <c r="F100" s="148"/>
      <c r="G100" s="148"/>
      <c r="H100" s="152"/>
      <c r="I100" s="153"/>
      <c r="J100" s="154"/>
      <c r="K100" s="153"/>
    </row>
    <row r="101" spans="1:11" ht="15.75" customHeight="1" x14ac:dyDescent="0.25">
      <c r="A101" s="148"/>
      <c r="B101" s="151"/>
      <c r="C101" s="151"/>
      <c r="D101" s="148"/>
      <c r="E101" s="148"/>
      <c r="F101" s="148"/>
      <c r="G101" s="148"/>
      <c r="H101" s="152"/>
      <c r="I101" s="153"/>
      <c r="J101" s="154"/>
      <c r="K101" s="153"/>
    </row>
    <row r="102" spans="1:11" ht="15.75" customHeight="1" x14ac:dyDescent="0.25">
      <c r="A102" s="148"/>
      <c r="B102" s="151"/>
      <c r="C102" s="151"/>
      <c r="D102" s="148"/>
      <c r="E102" s="148"/>
      <c r="F102" s="148"/>
      <c r="G102" s="148"/>
      <c r="H102" s="152"/>
      <c r="I102" s="153"/>
      <c r="J102" s="154"/>
      <c r="K102" s="153"/>
    </row>
    <row r="103" spans="1:11" ht="15.75" customHeight="1" x14ac:dyDescent="0.25">
      <c r="A103" s="148"/>
      <c r="B103" s="151"/>
      <c r="C103" s="151"/>
      <c r="D103" s="148"/>
      <c r="E103" s="148"/>
      <c r="F103" s="148"/>
      <c r="G103" s="148"/>
      <c r="H103" s="152"/>
      <c r="I103" s="153"/>
      <c r="J103" s="154"/>
      <c r="K103" s="153"/>
    </row>
    <row r="104" spans="1:11" ht="15.75" customHeight="1" x14ac:dyDescent="0.25">
      <c r="A104" s="148"/>
      <c r="B104" s="151"/>
      <c r="C104" s="151"/>
      <c r="D104" s="148"/>
      <c r="E104" s="148"/>
      <c r="F104" s="148"/>
      <c r="G104" s="148"/>
      <c r="H104" s="152"/>
      <c r="I104" s="153"/>
      <c r="J104" s="154"/>
      <c r="K104" s="153"/>
    </row>
    <row r="105" spans="1:11" ht="15.75" customHeight="1" x14ac:dyDescent="0.25">
      <c r="A105" s="148"/>
      <c r="B105" s="151"/>
      <c r="C105" s="151"/>
      <c r="D105" s="148"/>
      <c r="E105" s="148"/>
      <c r="F105" s="148"/>
      <c r="G105" s="148"/>
      <c r="H105" s="152"/>
      <c r="I105" s="153"/>
      <c r="J105" s="154"/>
      <c r="K105" s="153"/>
    </row>
    <row r="106" spans="1:11" ht="15.75" customHeight="1" x14ac:dyDescent="0.25">
      <c r="A106" s="148"/>
      <c r="B106" s="151"/>
      <c r="C106" s="151"/>
      <c r="D106" s="148"/>
      <c r="E106" s="148"/>
      <c r="F106" s="148"/>
      <c r="G106" s="148"/>
      <c r="H106" s="152"/>
      <c r="I106" s="153"/>
      <c r="J106" s="154"/>
      <c r="K106" s="153"/>
    </row>
    <row r="107" spans="1:11" ht="15.75" customHeight="1" x14ac:dyDescent="0.25">
      <c r="A107" s="148"/>
      <c r="B107" s="151"/>
      <c r="C107" s="151"/>
      <c r="D107" s="148"/>
      <c r="E107" s="148"/>
      <c r="F107" s="148"/>
      <c r="G107" s="148"/>
      <c r="H107" s="152"/>
      <c r="I107" s="153"/>
      <c r="J107" s="154"/>
      <c r="K107" s="153"/>
    </row>
    <row r="108" spans="1:11" ht="15.75" customHeight="1" x14ac:dyDescent="0.25">
      <c r="A108" s="148"/>
      <c r="B108" s="151"/>
      <c r="C108" s="151"/>
      <c r="D108" s="148"/>
      <c r="E108" s="148"/>
      <c r="F108" s="148"/>
      <c r="G108" s="148"/>
      <c r="H108" s="152"/>
      <c r="I108" s="153"/>
      <c r="J108" s="154"/>
      <c r="K108" s="153"/>
    </row>
    <row r="109" spans="1:11" ht="15.75" customHeight="1" x14ac:dyDescent="0.25">
      <c r="A109" s="148"/>
      <c r="B109" s="151"/>
      <c r="C109" s="151"/>
      <c r="D109" s="148"/>
      <c r="E109" s="148"/>
      <c r="F109" s="148"/>
      <c r="G109" s="148"/>
      <c r="H109" s="152"/>
      <c r="I109" s="153"/>
      <c r="J109" s="154"/>
      <c r="K109" s="153"/>
    </row>
    <row r="110" spans="1:11" ht="15.75" customHeight="1" x14ac:dyDescent="0.25">
      <c r="A110" s="148"/>
      <c r="B110" s="151"/>
      <c r="C110" s="151"/>
      <c r="D110" s="148"/>
      <c r="E110" s="148"/>
      <c r="F110" s="148"/>
      <c r="G110" s="148"/>
      <c r="H110" s="152"/>
      <c r="I110" s="153"/>
      <c r="J110" s="154"/>
      <c r="K110" s="153"/>
    </row>
    <row r="111" spans="1:11" ht="15.75" customHeight="1" x14ac:dyDescent="0.25">
      <c r="A111" s="148"/>
      <c r="B111" s="151"/>
      <c r="C111" s="151"/>
      <c r="D111" s="148"/>
      <c r="E111" s="148"/>
      <c r="F111" s="148"/>
      <c r="G111" s="148"/>
      <c r="H111" s="152"/>
      <c r="I111" s="153"/>
      <c r="J111" s="154"/>
      <c r="K111" s="153"/>
    </row>
    <row r="112" spans="1:11" ht="15.75" customHeight="1" x14ac:dyDescent="0.25">
      <c r="A112" s="148"/>
      <c r="B112" s="151"/>
      <c r="C112" s="151"/>
      <c r="D112" s="148"/>
      <c r="E112" s="148"/>
      <c r="F112" s="148"/>
      <c r="G112" s="148"/>
      <c r="H112" s="152"/>
      <c r="I112" s="153"/>
      <c r="J112" s="154"/>
      <c r="K112" s="153"/>
    </row>
    <row r="113" spans="1:11" ht="15.75" customHeight="1" x14ac:dyDescent="0.25">
      <c r="A113" s="148"/>
      <c r="B113" s="151"/>
      <c r="C113" s="151"/>
      <c r="D113" s="148"/>
      <c r="E113" s="148"/>
      <c r="F113" s="148"/>
      <c r="G113" s="148"/>
      <c r="H113" s="152"/>
      <c r="I113" s="153"/>
      <c r="J113" s="154"/>
      <c r="K113" s="153"/>
    </row>
    <row r="114" spans="1:11" ht="15.75" customHeight="1" x14ac:dyDescent="0.25">
      <c r="A114" s="148"/>
      <c r="B114" s="151"/>
      <c r="C114" s="151"/>
      <c r="D114" s="148"/>
      <c r="E114" s="148"/>
      <c r="F114" s="148"/>
      <c r="G114" s="148"/>
      <c r="H114" s="152"/>
      <c r="I114" s="153"/>
      <c r="J114" s="154"/>
      <c r="K114" s="153"/>
    </row>
    <row r="115" spans="1:11" ht="15.75" customHeight="1" x14ac:dyDescent="0.25">
      <c r="A115" s="148"/>
      <c r="B115" s="151"/>
      <c r="C115" s="151"/>
      <c r="D115" s="148"/>
      <c r="E115" s="148"/>
      <c r="F115" s="148"/>
      <c r="G115" s="148"/>
      <c r="H115" s="152"/>
      <c r="I115" s="153"/>
      <c r="J115" s="154"/>
      <c r="K115" s="153"/>
    </row>
    <row r="116" spans="1:11" ht="15.75" customHeight="1" x14ac:dyDescent="0.25">
      <c r="A116" s="148"/>
      <c r="B116" s="151"/>
      <c r="C116" s="151"/>
      <c r="D116" s="148"/>
      <c r="E116" s="148"/>
      <c r="F116" s="148"/>
      <c r="G116" s="148"/>
      <c r="H116" s="152"/>
      <c r="I116" s="153"/>
      <c r="J116" s="154"/>
      <c r="K116" s="153"/>
    </row>
    <row r="117" spans="1:11" ht="15.75" customHeight="1" x14ac:dyDescent="0.25">
      <c r="A117" s="148"/>
      <c r="B117" s="151"/>
      <c r="C117" s="151"/>
      <c r="D117" s="148"/>
      <c r="E117" s="148"/>
      <c r="F117" s="148"/>
      <c r="G117" s="148"/>
      <c r="H117" s="152"/>
      <c r="I117" s="153"/>
      <c r="J117" s="154"/>
      <c r="K117" s="153"/>
    </row>
    <row r="118" spans="1:11" ht="15.75" customHeight="1" x14ac:dyDescent="0.25">
      <c r="A118" s="148"/>
      <c r="B118" s="151"/>
      <c r="C118" s="151"/>
      <c r="D118" s="148"/>
      <c r="E118" s="148"/>
      <c r="F118" s="148"/>
      <c r="G118" s="148"/>
      <c r="H118" s="152"/>
      <c r="I118" s="153"/>
      <c r="J118" s="154"/>
      <c r="K118" s="153"/>
    </row>
    <row r="119" spans="1:11" ht="15.75" customHeight="1" x14ac:dyDescent="0.25">
      <c r="A119" s="148"/>
      <c r="B119" s="151"/>
      <c r="C119" s="151"/>
      <c r="D119" s="148"/>
      <c r="E119" s="148"/>
      <c r="F119" s="148"/>
      <c r="G119" s="148"/>
      <c r="H119" s="152"/>
      <c r="I119" s="153"/>
      <c r="J119" s="154"/>
      <c r="K119" s="153"/>
    </row>
    <row r="120" spans="1:11" ht="15.75" customHeight="1" x14ac:dyDescent="0.25">
      <c r="A120" s="148"/>
      <c r="B120" s="151"/>
      <c r="C120" s="151"/>
      <c r="D120" s="148"/>
      <c r="E120" s="148"/>
      <c r="F120" s="148"/>
      <c r="G120" s="148"/>
      <c r="H120" s="152"/>
      <c r="I120" s="153"/>
      <c r="J120" s="154"/>
      <c r="K120" s="153"/>
    </row>
    <row r="121" spans="1:11" ht="15.75" customHeight="1" x14ac:dyDescent="0.25">
      <c r="A121" s="148"/>
      <c r="B121" s="151"/>
      <c r="C121" s="151"/>
      <c r="D121" s="148"/>
      <c r="E121" s="148"/>
      <c r="F121" s="148"/>
      <c r="G121" s="148"/>
      <c r="H121" s="152"/>
      <c r="I121" s="153"/>
      <c r="J121" s="154"/>
      <c r="K121" s="153"/>
    </row>
    <row r="122" spans="1:11" ht="15.75" customHeight="1" x14ac:dyDescent="0.25">
      <c r="A122" s="148"/>
      <c r="B122" s="151"/>
      <c r="C122" s="151"/>
      <c r="D122" s="148"/>
      <c r="E122" s="148"/>
      <c r="F122" s="148"/>
      <c r="G122" s="148"/>
      <c r="H122" s="152"/>
      <c r="I122" s="153"/>
      <c r="J122" s="154"/>
      <c r="K122" s="153"/>
    </row>
    <row r="123" spans="1:11" ht="15.75" customHeight="1" x14ac:dyDescent="0.25">
      <c r="A123" s="148"/>
      <c r="B123" s="151"/>
      <c r="C123" s="151"/>
      <c r="D123" s="148"/>
      <c r="E123" s="148"/>
      <c r="F123" s="148"/>
      <c r="G123" s="148"/>
      <c r="H123" s="152"/>
      <c r="I123" s="153"/>
      <c r="J123" s="154"/>
      <c r="K123" s="153"/>
    </row>
    <row r="124" spans="1:11" ht="15.75" customHeight="1" x14ac:dyDescent="0.25">
      <c r="A124" s="148"/>
      <c r="B124" s="151"/>
      <c r="C124" s="151"/>
      <c r="D124" s="148"/>
      <c r="E124" s="148"/>
      <c r="F124" s="148"/>
      <c r="G124" s="148"/>
      <c r="H124" s="152"/>
      <c r="I124" s="153"/>
      <c r="J124" s="154"/>
      <c r="K124" s="153"/>
    </row>
    <row r="125" spans="1:11" ht="15.75" customHeight="1" x14ac:dyDescent="0.25">
      <c r="A125" s="148"/>
      <c r="B125" s="151"/>
      <c r="C125" s="151"/>
      <c r="D125" s="148"/>
      <c r="E125" s="148"/>
      <c r="F125" s="148"/>
      <c r="G125" s="148"/>
      <c r="H125" s="152"/>
      <c r="I125" s="153"/>
      <c r="J125" s="154"/>
      <c r="K125" s="153"/>
    </row>
    <row r="126" spans="1:11" ht="15.75" customHeight="1" x14ac:dyDescent="0.25">
      <c r="A126" s="148"/>
      <c r="B126" s="151"/>
      <c r="C126" s="151"/>
      <c r="D126" s="148"/>
      <c r="E126" s="148"/>
      <c r="F126" s="148"/>
      <c r="G126" s="148"/>
      <c r="H126" s="152"/>
      <c r="I126" s="153"/>
      <c r="J126" s="154"/>
      <c r="K126" s="153"/>
    </row>
    <row r="127" spans="1:11" ht="15.75" customHeight="1" x14ac:dyDescent="0.25">
      <c r="A127" s="148"/>
      <c r="B127" s="151"/>
      <c r="C127" s="151"/>
      <c r="D127" s="148"/>
      <c r="E127" s="148"/>
      <c r="F127" s="148"/>
      <c r="G127" s="148"/>
      <c r="H127" s="152"/>
      <c r="I127" s="153"/>
      <c r="J127" s="154"/>
      <c r="K127" s="153"/>
    </row>
    <row r="128" spans="1:11" ht="15.75" customHeight="1" x14ac:dyDescent="0.25">
      <c r="A128" s="148"/>
      <c r="B128" s="151"/>
      <c r="C128" s="151"/>
      <c r="D128" s="148"/>
      <c r="E128" s="148"/>
      <c r="F128" s="148"/>
      <c r="G128" s="148"/>
      <c r="H128" s="152"/>
      <c r="I128" s="153"/>
      <c r="J128" s="154"/>
      <c r="K128" s="153"/>
    </row>
    <row r="129" spans="1:11" ht="15.75" customHeight="1" x14ac:dyDescent="0.25">
      <c r="A129" s="148"/>
      <c r="B129" s="151"/>
      <c r="C129" s="151"/>
      <c r="D129" s="148"/>
      <c r="E129" s="148"/>
      <c r="F129" s="148"/>
      <c r="G129" s="148"/>
      <c r="H129" s="152"/>
      <c r="I129" s="153"/>
      <c r="J129" s="154"/>
      <c r="K129" s="153"/>
    </row>
    <row r="130" spans="1:11" ht="15.75" customHeight="1" x14ac:dyDescent="0.25">
      <c r="A130" s="148"/>
      <c r="B130" s="151"/>
      <c r="C130" s="151"/>
      <c r="D130" s="148"/>
      <c r="E130" s="148"/>
      <c r="F130" s="148"/>
      <c r="G130" s="148"/>
      <c r="H130" s="152"/>
      <c r="I130" s="153"/>
      <c r="J130" s="154"/>
      <c r="K130" s="153"/>
    </row>
    <row r="131" spans="1:11" ht="15.75" customHeight="1" x14ac:dyDescent="0.25">
      <c r="A131" s="148"/>
      <c r="B131" s="151"/>
      <c r="C131" s="151"/>
      <c r="D131" s="148"/>
      <c r="E131" s="148"/>
      <c r="F131" s="148"/>
      <c r="G131" s="148"/>
      <c r="H131" s="152"/>
      <c r="I131" s="153"/>
      <c r="J131" s="154"/>
      <c r="K131" s="153"/>
    </row>
    <row r="132" spans="1:11" ht="15.75" customHeight="1" x14ac:dyDescent="0.25">
      <c r="A132" s="148"/>
      <c r="B132" s="151"/>
      <c r="C132" s="151"/>
      <c r="D132" s="148"/>
      <c r="E132" s="148"/>
      <c r="F132" s="148"/>
      <c r="G132" s="148"/>
      <c r="H132" s="152"/>
      <c r="I132" s="153"/>
      <c r="J132" s="154"/>
      <c r="K132" s="153"/>
    </row>
    <row r="133" spans="1:11" ht="15.75" customHeight="1" x14ac:dyDescent="0.25">
      <c r="A133" s="148"/>
      <c r="B133" s="151"/>
      <c r="C133" s="151"/>
      <c r="D133" s="148"/>
      <c r="E133" s="148"/>
      <c r="F133" s="148"/>
      <c r="G133" s="148"/>
      <c r="H133" s="152"/>
      <c r="I133" s="153"/>
      <c r="J133" s="154"/>
      <c r="K133" s="153"/>
    </row>
    <row r="134" spans="1:11" ht="15.75" customHeight="1" x14ac:dyDescent="0.25">
      <c r="A134" s="148"/>
      <c r="B134" s="151"/>
      <c r="C134" s="151"/>
      <c r="D134" s="148"/>
      <c r="E134" s="148"/>
      <c r="F134" s="148"/>
      <c r="G134" s="148"/>
      <c r="H134" s="152"/>
      <c r="I134" s="153"/>
      <c r="J134" s="154"/>
      <c r="K134" s="153"/>
    </row>
    <row r="135" spans="1:11" ht="15.75" customHeight="1" x14ac:dyDescent="0.25">
      <c r="A135" s="148"/>
      <c r="B135" s="151"/>
      <c r="C135" s="151"/>
      <c r="D135" s="148"/>
      <c r="E135" s="148"/>
      <c r="F135" s="148"/>
      <c r="G135" s="148"/>
      <c r="H135" s="152"/>
      <c r="I135" s="153"/>
      <c r="J135" s="154"/>
      <c r="K135" s="153"/>
    </row>
    <row r="136" spans="1:11" ht="15.75" customHeight="1" x14ac:dyDescent="0.25">
      <c r="A136" s="148"/>
      <c r="B136" s="151"/>
      <c r="C136" s="151"/>
      <c r="D136" s="148"/>
      <c r="E136" s="148"/>
      <c r="F136" s="148"/>
      <c r="G136" s="148"/>
      <c r="H136" s="152"/>
      <c r="I136" s="153"/>
      <c r="J136" s="154"/>
      <c r="K136" s="153"/>
    </row>
    <row r="137" spans="1:11" ht="15.75" customHeight="1" x14ac:dyDescent="0.25">
      <c r="A137" s="148"/>
      <c r="B137" s="151"/>
      <c r="C137" s="151"/>
      <c r="D137" s="148"/>
      <c r="E137" s="148"/>
      <c r="F137" s="148"/>
      <c r="G137" s="148"/>
      <c r="H137" s="152"/>
      <c r="I137" s="153"/>
      <c r="J137" s="154"/>
      <c r="K137" s="153"/>
    </row>
    <row r="138" spans="1:11" ht="15.75" customHeight="1" x14ac:dyDescent="0.25">
      <c r="A138" s="148"/>
      <c r="B138" s="151"/>
      <c r="C138" s="151"/>
      <c r="D138" s="148"/>
      <c r="E138" s="148"/>
      <c r="F138" s="148"/>
      <c r="G138" s="148"/>
      <c r="H138" s="152"/>
      <c r="I138" s="153"/>
      <c r="J138" s="154"/>
      <c r="K138" s="153"/>
    </row>
    <row r="139" spans="1:11" ht="15.75" customHeight="1" x14ac:dyDescent="0.25">
      <c r="A139" s="148"/>
      <c r="B139" s="151"/>
      <c r="C139" s="151"/>
      <c r="D139" s="148"/>
      <c r="E139" s="148"/>
      <c r="F139" s="148"/>
      <c r="G139" s="148"/>
      <c r="H139" s="152"/>
      <c r="I139" s="153"/>
      <c r="J139" s="154"/>
      <c r="K139" s="153"/>
    </row>
    <row r="140" spans="1:11" ht="15.75" customHeight="1" x14ac:dyDescent="0.25">
      <c r="A140" s="148"/>
      <c r="B140" s="151"/>
      <c r="C140" s="151"/>
      <c r="D140" s="148"/>
      <c r="E140" s="148"/>
      <c r="F140" s="148"/>
      <c r="G140" s="148"/>
      <c r="H140" s="152"/>
      <c r="I140" s="153"/>
      <c r="J140" s="154"/>
      <c r="K140" s="153"/>
    </row>
    <row r="141" spans="1:11" ht="15.75" customHeight="1" x14ac:dyDescent="0.25">
      <c r="A141" s="148"/>
      <c r="B141" s="151"/>
      <c r="C141" s="151"/>
      <c r="D141" s="148"/>
      <c r="E141" s="148"/>
      <c r="F141" s="148"/>
      <c r="G141" s="148"/>
      <c r="H141" s="152"/>
      <c r="I141" s="153"/>
      <c r="J141" s="154"/>
      <c r="K141" s="153"/>
    </row>
    <row r="142" spans="1:11" ht="15.75" customHeight="1" x14ac:dyDescent="0.25">
      <c r="A142" s="148"/>
      <c r="B142" s="151"/>
      <c r="C142" s="151"/>
      <c r="D142" s="148"/>
      <c r="E142" s="148"/>
      <c r="F142" s="148"/>
      <c r="G142" s="148"/>
      <c r="H142" s="152"/>
      <c r="I142" s="153"/>
      <c r="J142" s="154"/>
      <c r="K142" s="153"/>
    </row>
    <row r="143" spans="1:11" ht="15.75" customHeight="1" x14ac:dyDescent="0.25">
      <c r="A143" s="148"/>
      <c r="B143" s="151"/>
      <c r="C143" s="151"/>
      <c r="D143" s="148"/>
      <c r="E143" s="148"/>
      <c r="F143" s="148"/>
      <c r="G143" s="148"/>
      <c r="H143" s="152"/>
      <c r="I143" s="153"/>
      <c r="J143" s="154"/>
      <c r="K143" s="153"/>
    </row>
    <row r="144" spans="1:11" ht="15.75" customHeight="1" x14ac:dyDescent="0.25">
      <c r="A144" s="148"/>
      <c r="B144" s="151"/>
      <c r="C144" s="151"/>
      <c r="D144" s="148"/>
      <c r="E144" s="148"/>
      <c r="F144" s="148"/>
      <c r="G144" s="148"/>
      <c r="H144" s="152"/>
      <c r="I144" s="153"/>
      <c r="J144" s="154"/>
      <c r="K144" s="153"/>
    </row>
    <row r="145" spans="1:11" ht="15.75" customHeight="1" x14ac:dyDescent="0.25">
      <c r="A145" s="148"/>
      <c r="B145" s="151"/>
      <c r="C145" s="151"/>
      <c r="D145" s="148"/>
      <c r="E145" s="148"/>
      <c r="F145" s="148"/>
      <c r="G145" s="148"/>
      <c r="H145" s="152"/>
      <c r="I145" s="153"/>
      <c r="J145" s="154"/>
      <c r="K145" s="153"/>
    </row>
    <row r="146" spans="1:11" ht="15.75" customHeight="1" x14ac:dyDescent="0.25">
      <c r="A146" s="148"/>
      <c r="B146" s="151"/>
      <c r="C146" s="151"/>
      <c r="D146" s="148"/>
      <c r="E146" s="148"/>
      <c r="F146" s="148"/>
      <c r="G146" s="148"/>
      <c r="H146" s="152"/>
      <c r="I146" s="153"/>
      <c r="J146" s="154"/>
      <c r="K146" s="153"/>
    </row>
    <row r="147" spans="1:11" ht="15.75" customHeight="1" x14ac:dyDescent="0.25">
      <c r="A147" s="148"/>
      <c r="B147" s="151"/>
      <c r="C147" s="151"/>
      <c r="D147" s="148"/>
      <c r="E147" s="148"/>
      <c r="F147" s="148"/>
      <c r="G147" s="148"/>
      <c r="H147" s="152"/>
      <c r="I147" s="153"/>
      <c r="J147" s="154"/>
      <c r="K147" s="153"/>
    </row>
    <row r="148" spans="1:11" ht="15.75" customHeight="1" x14ac:dyDescent="0.25">
      <c r="A148" s="148"/>
      <c r="B148" s="151"/>
      <c r="C148" s="151"/>
      <c r="D148" s="148"/>
      <c r="E148" s="148"/>
      <c r="F148" s="148"/>
      <c r="G148" s="148"/>
      <c r="H148" s="152"/>
      <c r="I148" s="153"/>
      <c r="J148" s="154"/>
      <c r="K148" s="153"/>
    </row>
    <row r="149" spans="1:11" ht="15.75" customHeight="1" x14ac:dyDescent="0.25">
      <c r="A149" s="148"/>
      <c r="B149" s="151"/>
      <c r="C149" s="151"/>
      <c r="D149" s="148"/>
      <c r="E149" s="148"/>
      <c r="F149" s="148"/>
      <c r="G149" s="148"/>
      <c r="H149" s="152"/>
      <c r="I149" s="153"/>
      <c r="J149" s="154"/>
      <c r="K149" s="153"/>
    </row>
    <row r="150" spans="1:11" ht="15.75" customHeight="1" x14ac:dyDescent="0.25">
      <c r="A150" s="148"/>
      <c r="B150" s="151"/>
      <c r="C150" s="151"/>
      <c r="D150" s="148"/>
      <c r="E150" s="148"/>
      <c r="F150" s="148"/>
      <c r="G150" s="148"/>
      <c r="H150" s="152"/>
      <c r="I150" s="153"/>
      <c r="J150" s="154"/>
      <c r="K150" s="153"/>
    </row>
    <row r="151" spans="1:11" ht="15.75" customHeight="1" x14ac:dyDescent="0.25">
      <c r="A151" s="148"/>
      <c r="B151" s="151"/>
      <c r="C151" s="151"/>
      <c r="D151" s="148"/>
      <c r="E151" s="148"/>
      <c r="F151" s="148"/>
      <c r="G151" s="148"/>
      <c r="H151" s="152"/>
      <c r="I151" s="153"/>
      <c r="J151" s="154"/>
      <c r="K151" s="153"/>
    </row>
    <row r="152" spans="1:11" ht="15.75" customHeight="1" x14ac:dyDescent="0.25">
      <c r="A152" s="148"/>
      <c r="B152" s="151"/>
      <c r="C152" s="151"/>
      <c r="D152" s="148"/>
      <c r="E152" s="148"/>
      <c r="F152" s="148"/>
      <c r="G152" s="148"/>
      <c r="H152" s="152"/>
      <c r="I152" s="153"/>
      <c r="J152" s="154"/>
      <c r="K152" s="153"/>
    </row>
    <row r="153" spans="1:11" ht="15.75" customHeight="1" x14ac:dyDescent="0.25">
      <c r="A153" s="148"/>
      <c r="B153" s="151"/>
      <c r="C153" s="151"/>
      <c r="D153" s="148"/>
      <c r="E153" s="148"/>
      <c r="F153" s="148"/>
      <c r="G153" s="148"/>
      <c r="H153" s="152"/>
      <c r="I153" s="153"/>
      <c r="J153" s="154"/>
      <c r="K153" s="153"/>
    </row>
    <row r="154" spans="1:11" ht="15.75" customHeight="1" x14ac:dyDescent="0.25">
      <c r="A154" s="148"/>
      <c r="B154" s="151"/>
      <c r="C154" s="151"/>
      <c r="D154" s="148"/>
      <c r="E154" s="148"/>
      <c r="F154" s="148"/>
      <c r="G154" s="148"/>
      <c r="H154" s="152"/>
      <c r="I154" s="153"/>
      <c r="J154" s="154"/>
      <c r="K154" s="153"/>
    </row>
    <row r="155" spans="1:11" ht="15.75" customHeight="1" x14ac:dyDescent="0.25">
      <c r="A155" s="148"/>
      <c r="B155" s="151"/>
      <c r="C155" s="151"/>
      <c r="D155" s="148"/>
      <c r="E155" s="148"/>
      <c r="F155" s="148"/>
      <c r="G155" s="148"/>
      <c r="H155" s="152"/>
      <c r="I155" s="153"/>
      <c r="J155" s="154"/>
      <c r="K155" s="153"/>
    </row>
    <row r="156" spans="1:11" ht="15.75" customHeight="1" x14ac:dyDescent="0.25">
      <c r="A156" s="148"/>
      <c r="B156" s="151"/>
      <c r="C156" s="151"/>
      <c r="D156" s="148"/>
      <c r="E156" s="148"/>
      <c r="F156" s="148"/>
      <c r="G156" s="148"/>
      <c r="H156" s="152"/>
      <c r="I156" s="153"/>
      <c r="J156" s="154"/>
      <c r="K156" s="153"/>
    </row>
    <row r="157" spans="1:11" ht="15.75" customHeight="1" x14ac:dyDescent="0.25">
      <c r="A157" s="148"/>
      <c r="B157" s="151"/>
      <c r="C157" s="151"/>
      <c r="D157" s="148"/>
      <c r="E157" s="148"/>
      <c r="F157" s="148"/>
      <c r="G157" s="148"/>
      <c r="H157" s="152"/>
      <c r="I157" s="153"/>
      <c r="J157" s="154"/>
      <c r="K157" s="153"/>
    </row>
    <row r="158" spans="1:11" ht="15.75" customHeight="1" x14ac:dyDescent="0.25">
      <c r="A158" s="148"/>
      <c r="B158" s="151"/>
      <c r="C158" s="151"/>
      <c r="D158" s="148"/>
      <c r="E158" s="148"/>
      <c r="F158" s="148"/>
      <c r="G158" s="148"/>
      <c r="H158" s="152"/>
      <c r="I158" s="153"/>
      <c r="J158" s="154"/>
      <c r="K158" s="153"/>
    </row>
    <row r="159" spans="1:11" ht="15.75" customHeight="1" x14ac:dyDescent="0.25">
      <c r="A159" s="148"/>
      <c r="B159" s="151"/>
      <c r="C159" s="151"/>
      <c r="D159" s="148"/>
      <c r="E159" s="148"/>
      <c r="F159" s="148"/>
      <c r="G159" s="148"/>
      <c r="H159" s="152"/>
      <c r="I159" s="153"/>
      <c r="J159" s="154"/>
      <c r="K159" s="153"/>
    </row>
    <row r="160" spans="1:11" ht="15.75" customHeight="1" x14ac:dyDescent="0.25">
      <c r="A160" s="148"/>
      <c r="B160" s="151"/>
      <c r="C160" s="151"/>
      <c r="D160" s="148"/>
      <c r="E160" s="148"/>
      <c r="F160" s="148"/>
      <c r="G160" s="148"/>
      <c r="H160" s="152"/>
      <c r="I160" s="153"/>
      <c r="J160" s="154"/>
      <c r="K160" s="153"/>
    </row>
    <row r="161" spans="1:11" ht="15.75" customHeight="1" x14ac:dyDescent="0.25">
      <c r="A161" s="148"/>
      <c r="B161" s="151"/>
      <c r="C161" s="151"/>
      <c r="D161" s="148"/>
      <c r="E161" s="148"/>
      <c r="F161" s="148"/>
      <c r="G161" s="148"/>
      <c r="H161" s="152"/>
      <c r="I161" s="153"/>
      <c r="J161" s="154"/>
      <c r="K161" s="153"/>
    </row>
    <row r="162" spans="1:11" ht="15.75" customHeight="1" x14ac:dyDescent="0.25">
      <c r="A162" s="148"/>
      <c r="B162" s="151"/>
      <c r="C162" s="151"/>
      <c r="D162" s="148"/>
      <c r="E162" s="148"/>
      <c r="F162" s="148"/>
      <c r="G162" s="148"/>
      <c r="H162" s="152"/>
      <c r="I162" s="153"/>
      <c r="J162" s="154"/>
      <c r="K162" s="153"/>
    </row>
    <row r="163" spans="1:11" ht="15.75" customHeight="1" x14ac:dyDescent="0.25">
      <c r="A163" s="148"/>
      <c r="B163" s="151"/>
      <c r="C163" s="151"/>
      <c r="D163" s="148"/>
      <c r="E163" s="148"/>
      <c r="F163" s="148"/>
      <c r="G163" s="148"/>
      <c r="H163" s="152"/>
      <c r="I163" s="153"/>
      <c r="J163" s="154"/>
      <c r="K163" s="153"/>
    </row>
    <row r="164" spans="1:11" ht="15.75" customHeight="1" x14ac:dyDescent="0.25">
      <c r="A164" s="148"/>
      <c r="B164" s="151"/>
      <c r="C164" s="151"/>
      <c r="D164" s="148"/>
      <c r="E164" s="148"/>
      <c r="F164" s="148"/>
      <c r="G164" s="148"/>
      <c r="H164" s="152"/>
      <c r="I164" s="153"/>
      <c r="J164" s="154"/>
      <c r="K164" s="153"/>
    </row>
    <row r="165" spans="1:11" ht="15.75" customHeight="1" x14ac:dyDescent="0.25">
      <c r="A165" s="148"/>
      <c r="B165" s="151"/>
      <c r="C165" s="151"/>
      <c r="D165" s="148"/>
      <c r="E165" s="148"/>
      <c r="F165" s="148"/>
      <c r="G165" s="148"/>
      <c r="H165" s="152"/>
      <c r="I165" s="153"/>
      <c r="J165" s="154"/>
      <c r="K165" s="153"/>
    </row>
    <row r="166" spans="1:11" ht="15.75" customHeight="1" x14ac:dyDescent="0.25">
      <c r="A166" s="148"/>
      <c r="B166" s="151"/>
      <c r="C166" s="151"/>
      <c r="D166" s="148"/>
      <c r="E166" s="148"/>
      <c r="F166" s="148"/>
      <c r="G166" s="148"/>
      <c r="H166" s="152"/>
      <c r="I166" s="153"/>
      <c r="J166" s="154"/>
      <c r="K166" s="153"/>
    </row>
    <row r="167" spans="1:11" ht="15.75" customHeight="1" x14ac:dyDescent="0.25">
      <c r="A167" s="148"/>
      <c r="B167" s="151"/>
      <c r="C167" s="151"/>
      <c r="D167" s="148"/>
      <c r="E167" s="148"/>
      <c r="F167" s="148"/>
      <c r="G167" s="148"/>
      <c r="H167" s="152"/>
      <c r="I167" s="153"/>
      <c r="J167" s="154"/>
      <c r="K167" s="153"/>
    </row>
    <row r="168" spans="1:11" ht="15.75" customHeight="1" x14ac:dyDescent="0.25">
      <c r="A168" s="148"/>
      <c r="B168" s="151"/>
      <c r="C168" s="151"/>
      <c r="D168" s="148"/>
      <c r="E168" s="148"/>
      <c r="F168" s="148"/>
      <c r="G168" s="148"/>
      <c r="H168" s="152"/>
      <c r="I168" s="153"/>
      <c r="J168" s="154"/>
      <c r="K168" s="153"/>
    </row>
    <row r="169" spans="1:11" ht="15.75" customHeight="1" x14ac:dyDescent="0.25">
      <c r="A169" s="148"/>
      <c r="B169" s="151"/>
      <c r="C169" s="151"/>
      <c r="D169" s="148"/>
      <c r="E169" s="148"/>
      <c r="F169" s="148"/>
      <c r="G169" s="148"/>
      <c r="H169" s="152"/>
      <c r="I169" s="153"/>
      <c r="J169" s="154"/>
      <c r="K169" s="153"/>
    </row>
    <row r="170" spans="1:11" ht="15.75" customHeight="1" x14ac:dyDescent="0.25">
      <c r="A170" s="148"/>
      <c r="B170" s="151"/>
      <c r="C170" s="151"/>
      <c r="D170" s="148"/>
      <c r="E170" s="148"/>
      <c r="F170" s="148"/>
      <c r="G170" s="148"/>
      <c r="H170" s="152"/>
      <c r="I170" s="153"/>
      <c r="J170" s="154"/>
      <c r="K170" s="153"/>
    </row>
    <row r="171" spans="1:11" ht="15.75" customHeight="1" x14ac:dyDescent="0.25">
      <c r="A171" s="148"/>
      <c r="B171" s="151"/>
      <c r="C171" s="151"/>
      <c r="D171" s="148"/>
      <c r="E171" s="148"/>
      <c r="F171" s="148"/>
      <c r="G171" s="148"/>
      <c r="H171" s="152"/>
      <c r="I171" s="153"/>
      <c r="J171" s="154"/>
      <c r="K171" s="153"/>
    </row>
    <row r="172" spans="1:11" ht="15.75" customHeight="1" x14ac:dyDescent="0.25">
      <c r="A172" s="148"/>
      <c r="B172" s="151"/>
      <c r="C172" s="151"/>
      <c r="D172" s="148"/>
      <c r="E172" s="148"/>
      <c r="F172" s="148"/>
      <c r="G172" s="148"/>
      <c r="H172" s="152"/>
      <c r="I172" s="153"/>
      <c r="J172" s="154"/>
      <c r="K172" s="153"/>
    </row>
    <row r="173" spans="1:11" ht="15.75" customHeight="1" x14ac:dyDescent="0.25">
      <c r="A173" s="148"/>
      <c r="B173" s="151"/>
      <c r="C173" s="151"/>
      <c r="D173" s="148"/>
      <c r="E173" s="148"/>
      <c r="F173" s="148"/>
      <c r="G173" s="148"/>
      <c r="H173" s="152"/>
      <c r="I173" s="153"/>
      <c r="J173" s="154"/>
      <c r="K173" s="153"/>
    </row>
    <row r="174" spans="1:11" ht="15.75" customHeight="1" x14ac:dyDescent="0.25">
      <c r="A174" s="148"/>
      <c r="B174" s="151"/>
      <c r="C174" s="151"/>
      <c r="D174" s="148"/>
      <c r="E174" s="148"/>
      <c r="F174" s="148"/>
      <c r="G174" s="148"/>
      <c r="H174" s="152"/>
      <c r="I174" s="153"/>
      <c r="J174" s="154"/>
      <c r="K174" s="153"/>
    </row>
    <row r="175" spans="1:11" ht="15.75" customHeight="1" x14ac:dyDescent="0.25">
      <c r="A175" s="148"/>
      <c r="B175" s="151"/>
      <c r="C175" s="151"/>
      <c r="D175" s="148"/>
      <c r="E175" s="148"/>
      <c r="F175" s="148"/>
      <c r="G175" s="148"/>
      <c r="H175" s="152"/>
      <c r="I175" s="153"/>
      <c r="J175" s="154"/>
      <c r="K175" s="153"/>
    </row>
    <row r="176" spans="1:11" ht="15.75" customHeight="1" x14ac:dyDescent="0.25">
      <c r="A176" s="148"/>
      <c r="B176" s="151"/>
      <c r="C176" s="151"/>
      <c r="D176" s="148"/>
      <c r="E176" s="148"/>
      <c r="F176" s="148"/>
      <c r="G176" s="148"/>
      <c r="H176" s="152"/>
      <c r="I176" s="153"/>
      <c r="J176" s="154"/>
      <c r="K176" s="153"/>
    </row>
    <row r="177" spans="1:11" ht="15.75" customHeight="1" x14ac:dyDescent="0.25">
      <c r="A177" s="148"/>
      <c r="B177" s="151"/>
      <c r="C177" s="151"/>
      <c r="D177" s="148"/>
      <c r="E177" s="148"/>
      <c r="F177" s="148"/>
      <c r="G177" s="148"/>
      <c r="H177" s="152"/>
      <c r="I177" s="153"/>
      <c r="J177" s="154"/>
      <c r="K177" s="153"/>
    </row>
    <row r="178" spans="1:11" ht="15.75" customHeight="1" x14ac:dyDescent="0.25">
      <c r="A178" s="148"/>
      <c r="B178" s="151"/>
      <c r="C178" s="151"/>
      <c r="D178" s="148"/>
      <c r="E178" s="148"/>
      <c r="F178" s="148"/>
      <c r="G178" s="148"/>
      <c r="H178" s="152"/>
      <c r="I178" s="153"/>
      <c r="J178" s="154"/>
      <c r="K178" s="153"/>
    </row>
    <row r="179" spans="1:11" ht="15.75" customHeight="1" x14ac:dyDescent="0.25">
      <c r="A179" s="148"/>
      <c r="B179" s="151"/>
      <c r="C179" s="151"/>
      <c r="D179" s="148"/>
      <c r="E179" s="148"/>
      <c r="F179" s="148"/>
      <c r="G179" s="148"/>
      <c r="H179" s="152"/>
      <c r="I179" s="153"/>
      <c r="J179" s="154"/>
      <c r="K179" s="153"/>
    </row>
    <row r="180" spans="1:11" ht="15.75" customHeight="1" x14ac:dyDescent="0.25">
      <c r="A180" s="148"/>
      <c r="B180" s="151"/>
      <c r="C180" s="151"/>
      <c r="D180" s="148"/>
      <c r="E180" s="148"/>
      <c r="F180" s="148"/>
      <c r="G180" s="148"/>
      <c r="H180" s="152"/>
      <c r="I180" s="153"/>
      <c r="J180" s="154"/>
      <c r="K180" s="153"/>
    </row>
    <row r="181" spans="1:11" ht="15.75" customHeight="1" x14ac:dyDescent="0.25">
      <c r="A181" s="148"/>
      <c r="B181" s="151"/>
      <c r="C181" s="151"/>
      <c r="D181" s="148"/>
      <c r="E181" s="148"/>
      <c r="F181" s="148"/>
      <c r="G181" s="148"/>
      <c r="H181" s="152"/>
      <c r="I181" s="153"/>
      <c r="J181" s="154"/>
      <c r="K181" s="153"/>
    </row>
    <row r="182" spans="1:11" ht="15.75" customHeight="1" x14ac:dyDescent="0.25">
      <c r="A182" s="148"/>
      <c r="B182" s="151"/>
      <c r="C182" s="151"/>
      <c r="D182" s="148"/>
      <c r="E182" s="148"/>
      <c r="F182" s="148"/>
      <c r="G182" s="148"/>
      <c r="H182" s="152"/>
      <c r="I182" s="153"/>
      <c r="J182" s="154"/>
      <c r="K182" s="153"/>
    </row>
    <row r="183" spans="1:11" ht="15.75" customHeight="1" x14ac:dyDescent="0.25">
      <c r="A183" s="148"/>
      <c r="B183" s="151"/>
      <c r="C183" s="151"/>
      <c r="D183" s="148"/>
      <c r="E183" s="148"/>
      <c r="F183" s="148"/>
      <c r="G183" s="148"/>
      <c r="H183" s="152"/>
      <c r="I183" s="153"/>
      <c r="J183" s="154"/>
      <c r="K183" s="153"/>
    </row>
    <row r="184" spans="1:11" ht="15.75" customHeight="1" x14ac:dyDescent="0.25">
      <c r="A184" s="148"/>
      <c r="B184" s="151"/>
      <c r="C184" s="151"/>
      <c r="D184" s="148"/>
      <c r="E184" s="148"/>
      <c r="F184" s="148"/>
      <c r="G184" s="148"/>
      <c r="H184" s="152"/>
      <c r="I184" s="153"/>
      <c r="J184" s="154"/>
      <c r="K184" s="153"/>
    </row>
    <row r="185" spans="1:11" ht="15.75" customHeight="1" x14ac:dyDescent="0.25">
      <c r="A185" s="148"/>
      <c r="B185" s="151"/>
      <c r="C185" s="151"/>
      <c r="D185" s="148"/>
      <c r="E185" s="148"/>
      <c r="F185" s="148"/>
      <c r="G185" s="148"/>
      <c r="H185" s="152"/>
      <c r="I185" s="153"/>
      <c r="J185" s="154"/>
      <c r="K185" s="153"/>
    </row>
    <row r="186" spans="1:11" ht="15.75" customHeight="1" x14ac:dyDescent="0.25">
      <c r="A186" s="148"/>
      <c r="B186" s="151"/>
      <c r="C186" s="151"/>
      <c r="D186" s="148"/>
      <c r="E186" s="148"/>
      <c r="F186" s="148"/>
      <c r="G186" s="148"/>
      <c r="H186" s="152"/>
      <c r="I186" s="153"/>
      <c r="J186" s="154"/>
      <c r="K186" s="153"/>
    </row>
    <row r="187" spans="1:11" ht="15.75" customHeight="1" x14ac:dyDescent="0.25">
      <c r="A187" s="148"/>
      <c r="B187" s="151"/>
      <c r="C187" s="151"/>
      <c r="D187" s="148"/>
      <c r="E187" s="148"/>
      <c r="F187" s="148"/>
      <c r="G187" s="148"/>
      <c r="H187" s="152"/>
      <c r="I187" s="153"/>
      <c r="J187" s="154"/>
      <c r="K187" s="153"/>
    </row>
    <row r="188" spans="1:11" ht="15.75" customHeight="1" x14ac:dyDescent="0.25">
      <c r="A188" s="148"/>
      <c r="B188" s="151"/>
      <c r="C188" s="151"/>
      <c r="D188" s="148"/>
      <c r="E188" s="148"/>
      <c r="F188" s="148"/>
      <c r="G188" s="148"/>
      <c r="H188" s="152"/>
      <c r="I188" s="153"/>
      <c r="J188" s="154"/>
      <c r="K188" s="153"/>
    </row>
    <row r="189" spans="1:11" ht="15.75" customHeight="1" x14ac:dyDescent="0.25">
      <c r="A189" s="148"/>
      <c r="B189" s="151"/>
      <c r="C189" s="151"/>
      <c r="D189" s="148"/>
      <c r="E189" s="148"/>
      <c r="F189" s="148"/>
      <c r="G189" s="148"/>
      <c r="H189" s="152"/>
      <c r="I189" s="153"/>
      <c r="J189" s="154"/>
      <c r="K189" s="153"/>
    </row>
    <row r="190" spans="1:11" ht="15.75" customHeight="1" x14ac:dyDescent="0.25">
      <c r="A190" s="148"/>
      <c r="B190" s="151"/>
      <c r="C190" s="151"/>
      <c r="D190" s="148"/>
      <c r="E190" s="148"/>
      <c r="F190" s="148"/>
      <c r="G190" s="148"/>
      <c r="H190" s="152"/>
      <c r="I190" s="153"/>
      <c r="J190" s="154"/>
      <c r="K190" s="153"/>
    </row>
    <row r="191" spans="1:11" ht="15.75" customHeight="1" x14ac:dyDescent="0.25">
      <c r="A191" s="148"/>
      <c r="B191" s="151"/>
      <c r="C191" s="151"/>
      <c r="D191" s="148"/>
      <c r="E191" s="148"/>
      <c r="F191" s="148"/>
      <c r="G191" s="148"/>
      <c r="H191" s="152"/>
      <c r="I191" s="153"/>
      <c r="J191" s="154"/>
      <c r="K191" s="153"/>
    </row>
    <row r="192" spans="1:11" ht="15.75" customHeight="1" x14ac:dyDescent="0.25">
      <c r="A192" s="148"/>
      <c r="B192" s="151"/>
      <c r="C192" s="151"/>
      <c r="D192" s="148"/>
      <c r="E192" s="148"/>
      <c r="F192" s="148"/>
      <c r="G192" s="148"/>
      <c r="H192" s="152"/>
      <c r="I192" s="153"/>
      <c r="J192" s="154"/>
      <c r="K192" s="153"/>
    </row>
    <row r="193" spans="1:11" ht="15.75" customHeight="1" x14ac:dyDescent="0.25">
      <c r="A193" s="148"/>
      <c r="B193" s="151"/>
      <c r="C193" s="151"/>
      <c r="D193" s="148"/>
      <c r="E193" s="148"/>
      <c r="F193" s="148"/>
      <c r="G193" s="148"/>
      <c r="H193" s="152"/>
      <c r="I193" s="153"/>
      <c r="J193" s="154"/>
      <c r="K193" s="153"/>
    </row>
    <row r="194" spans="1:11" ht="15.75" customHeight="1" x14ac:dyDescent="0.25">
      <c r="A194" s="148"/>
      <c r="B194" s="151"/>
      <c r="C194" s="151"/>
      <c r="D194" s="148"/>
      <c r="E194" s="148"/>
      <c r="F194" s="148"/>
      <c r="G194" s="148"/>
      <c r="H194" s="152"/>
      <c r="I194" s="153"/>
      <c r="J194" s="154"/>
      <c r="K194" s="153"/>
    </row>
    <row r="195" spans="1:11" ht="15.75" customHeight="1" x14ac:dyDescent="0.25">
      <c r="A195" s="148"/>
      <c r="B195" s="151"/>
      <c r="C195" s="151"/>
      <c r="D195" s="148"/>
      <c r="E195" s="148"/>
      <c r="F195" s="148"/>
      <c r="G195" s="148"/>
      <c r="H195" s="152"/>
      <c r="I195" s="153"/>
      <c r="J195" s="154"/>
      <c r="K195" s="153"/>
    </row>
    <row r="196" spans="1:11" ht="15.75" customHeight="1" x14ac:dyDescent="0.25">
      <c r="A196" s="148"/>
      <c r="B196" s="151"/>
      <c r="C196" s="151"/>
      <c r="D196" s="148"/>
      <c r="E196" s="148"/>
      <c r="F196" s="148"/>
      <c r="G196" s="148"/>
      <c r="H196" s="152"/>
      <c r="I196" s="153"/>
      <c r="J196" s="154"/>
      <c r="K196" s="153"/>
    </row>
    <row r="197" spans="1:11" ht="15.75" customHeight="1" x14ac:dyDescent="0.25">
      <c r="A197" s="148"/>
      <c r="B197" s="151"/>
      <c r="C197" s="151"/>
      <c r="D197" s="148"/>
      <c r="E197" s="148"/>
      <c r="F197" s="148"/>
      <c r="G197" s="148"/>
      <c r="H197" s="152"/>
      <c r="I197" s="153"/>
      <c r="J197" s="154"/>
      <c r="K197" s="153"/>
    </row>
    <row r="198" spans="1:11" ht="15.75" customHeight="1" x14ac:dyDescent="0.25">
      <c r="A198" s="148"/>
      <c r="B198" s="151"/>
      <c r="C198" s="151"/>
      <c r="D198" s="148"/>
      <c r="E198" s="148"/>
      <c r="F198" s="148"/>
      <c r="G198" s="148"/>
      <c r="H198" s="152"/>
      <c r="I198" s="153"/>
      <c r="J198" s="154"/>
      <c r="K198" s="153"/>
    </row>
    <row r="199" spans="1:11" ht="15.75" customHeight="1" x14ac:dyDescent="0.25">
      <c r="A199" s="148"/>
      <c r="B199" s="151"/>
      <c r="C199" s="151"/>
      <c r="D199" s="148"/>
      <c r="E199" s="148"/>
      <c r="F199" s="148"/>
      <c r="G199" s="148"/>
      <c r="H199" s="152"/>
      <c r="I199" s="153"/>
      <c r="J199" s="154"/>
      <c r="K199" s="153"/>
    </row>
    <row r="200" spans="1:11" ht="15.75" customHeight="1" x14ac:dyDescent="0.25">
      <c r="A200" s="148"/>
      <c r="B200" s="151"/>
      <c r="C200" s="151"/>
      <c r="D200" s="148"/>
      <c r="E200" s="148"/>
      <c r="F200" s="148"/>
      <c r="G200" s="148"/>
      <c r="H200" s="152"/>
      <c r="I200" s="153"/>
      <c r="J200" s="154"/>
      <c r="K200" s="153"/>
    </row>
    <row r="201" spans="1:11" ht="15.75" customHeight="1" x14ac:dyDescent="0.25">
      <c r="A201" s="148"/>
      <c r="B201" s="151"/>
      <c r="C201" s="151"/>
      <c r="D201" s="148"/>
      <c r="E201" s="148"/>
      <c r="F201" s="148"/>
      <c r="G201" s="148"/>
      <c r="H201" s="152"/>
      <c r="I201" s="153"/>
      <c r="J201" s="154"/>
      <c r="K201" s="153"/>
    </row>
    <row r="202" spans="1:11" ht="15.75" customHeight="1" x14ac:dyDescent="0.25">
      <c r="A202" s="148"/>
      <c r="B202" s="151"/>
      <c r="C202" s="151"/>
      <c r="D202" s="148"/>
      <c r="E202" s="148"/>
      <c r="F202" s="148"/>
      <c r="G202" s="148"/>
      <c r="H202" s="152"/>
      <c r="I202" s="153"/>
      <c r="J202" s="154"/>
      <c r="K202" s="153"/>
    </row>
    <row r="203" spans="1:11" ht="15.75" customHeight="1" x14ac:dyDescent="0.25">
      <c r="A203" s="148"/>
      <c r="B203" s="151"/>
      <c r="C203" s="151"/>
      <c r="D203" s="148"/>
      <c r="E203" s="148"/>
      <c r="F203" s="148"/>
      <c r="G203" s="148"/>
      <c r="H203" s="152"/>
      <c r="I203" s="153"/>
      <c r="J203" s="154"/>
      <c r="K203" s="153"/>
    </row>
    <row r="204" spans="1:11" ht="15.75" customHeight="1" x14ac:dyDescent="0.25">
      <c r="A204" s="148"/>
      <c r="B204" s="151"/>
      <c r="C204" s="151"/>
      <c r="D204" s="148"/>
      <c r="E204" s="148"/>
      <c r="F204" s="148"/>
      <c r="G204" s="148"/>
      <c r="H204" s="152"/>
      <c r="I204" s="153"/>
      <c r="J204" s="154"/>
      <c r="K204" s="153"/>
    </row>
    <row r="205" spans="1:11" ht="15.75" customHeight="1" x14ac:dyDescent="0.25">
      <c r="A205" s="148"/>
      <c r="B205" s="151"/>
      <c r="C205" s="151"/>
      <c r="D205" s="148"/>
      <c r="E205" s="148"/>
      <c r="F205" s="148"/>
      <c r="G205" s="148"/>
      <c r="H205" s="152"/>
      <c r="I205" s="153"/>
      <c r="J205" s="154"/>
      <c r="K205" s="153"/>
    </row>
    <row r="206" spans="1:11" ht="15.75" customHeight="1" x14ac:dyDescent="0.25">
      <c r="A206" s="148"/>
      <c r="B206" s="151"/>
      <c r="C206" s="151"/>
      <c r="D206" s="148"/>
      <c r="E206" s="148"/>
      <c r="F206" s="148"/>
      <c r="G206" s="148"/>
      <c r="H206" s="152"/>
      <c r="I206" s="153"/>
      <c r="J206" s="154"/>
      <c r="K206" s="153"/>
    </row>
    <row r="207" spans="1:11" ht="15.75" customHeight="1" x14ac:dyDescent="0.25">
      <c r="A207" s="148"/>
      <c r="B207" s="151"/>
      <c r="C207" s="151"/>
      <c r="D207" s="148"/>
      <c r="E207" s="148"/>
      <c r="F207" s="148"/>
      <c r="G207" s="148"/>
      <c r="H207" s="152"/>
      <c r="I207" s="153"/>
      <c r="J207" s="154"/>
      <c r="K207" s="153"/>
    </row>
    <row r="208" spans="1:11" ht="15.75" customHeight="1" x14ac:dyDescent="0.25">
      <c r="A208" s="148"/>
      <c r="B208" s="151"/>
      <c r="C208" s="151"/>
      <c r="D208" s="148"/>
      <c r="E208" s="148"/>
      <c r="F208" s="148"/>
      <c r="G208" s="148"/>
      <c r="H208" s="152"/>
      <c r="I208" s="153"/>
      <c r="J208" s="154"/>
      <c r="K208" s="153"/>
    </row>
    <row r="209" spans="1:11" ht="15.75" customHeight="1" x14ac:dyDescent="0.25">
      <c r="A209" s="148"/>
      <c r="B209" s="151"/>
      <c r="C209" s="151"/>
      <c r="D209" s="148"/>
      <c r="E209" s="148"/>
      <c r="F209" s="148"/>
      <c r="G209" s="148"/>
      <c r="H209" s="152"/>
      <c r="I209" s="153"/>
      <c r="J209" s="154"/>
      <c r="K209" s="153"/>
    </row>
    <row r="210" spans="1:11" ht="15.75" customHeight="1" x14ac:dyDescent="0.25">
      <c r="A210" s="148"/>
      <c r="B210" s="151"/>
      <c r="C210" s="151"/>
      <c r="D210" s="148"/>
      <c r="E210" s="148"/>
      <c r="F210" s="148"/>
      <c r="G210" s="148"/>
      <c r="H210" s="152"/>
      <c r="I210" s="153"/>
      <c r="J210" s="154"/>
      <c r="K210" s="153"/>
    </row>
    <row r="211" spans="1:11" ht="15.75" customHeight="1" x14ac:dyDescent="0.25">
      <c r="A211" s="148"/>
      <c r="B211" s="151"/>
      <c r="C211" s="151"/>
      <c r="D211" s="148"/>
      <c r="E211" s="148"/>
      <c r="F211" s="148"/>
      <c r="G211" s="148"/>
      <c r="H211" s="152"/>
      <c r="I211" s="153"/>
      <c r="J211" s="154"/>
      <c r="K211" s="153"/>
    </row>
    <row r="212" spans="1:11" ht="15.75" customHeight="1" x14ac:dyDescent="0.25">
      <c r="A212" s="148"/>
      <c r="B212" s="151"/>
      <c r="C212" s="151"/>
      <c r="D212" s="148"/>
      <c r="E212" s="148"/>
      <c r="F212" s="148"/>
      <c r="G212" s="148"/>
      <c r="H212" s="152"/>
      <c r="I212" s="153"/>
      <c r="J212" s="154"/>
      <c r="K212" s="153"/>
    </row>
    <row r="213" spans="1:11" ht="15.75" customHeight="1" x14ac:dyDescent="0.25">
      <c r="A213" s="148"/>
      <c r="B213" s="151"/>
      <c r="C213" s="151"/>
      <c r="D213" s="148"/>
      <c r="E213" s="148"/>
      <c r="F213" s="148"/>
      <c r="G213" s="148"/>
      <c r="H213" s="152"/>
      <c r="I213" s="153"/>
      <c r="J213" s="154"/>
      <c r="K213" s="153"/>
    </row>
    <row r="214" spans="1:11" ht="15.75" customHeight="1" x14ac:dyDescent="0.25">
      <c r="A214" s="148"/>
      <c r="B214" s="151"/>
      <c r="C214" s="151"/>
      <c r="D214" s="148"/>
      <c r="E214" s="148"/>
      <c r="F214" s="148"/>
      <c r="G214" s="148"/>
      <c r="H214" s="152"/>
      <c r="I214" s="153"/>
      <c r="J214" s="154"/>
      <c r="K214" s="153"/>
    </row>
    <row r="215" spans="1:11" ht="15.75" customHeight="1" x14ac:dyDescent="0.25">
      <c r="A215" s="148"/>
      <c r="B215" s="151"/>
      <c r="C215" s="151"/>
      <c r="D215" s="148"/>
      <c r="E215" s="148"/>
      <c r="F215" s="148"/>
      <c r="G215" s="148"/>
      <c r="H215" s="152"/>
      <c r="I215" s="153"/>
      <c r="J215" s="154"/>
      <c r="K215" s="153"/>
    </row>
    <row r="216" spans="1:11" ht="15.75" customHeight="1" x14ac:dyDescent="0.25">
      <c r="A216" s="148"/>
      <c r="B216" s="151"/>
      <c r="C216" s="151"/>
      <c r="D216" s="148"/>
      <c r="E216" s="148"/>
      <c r="F216" s="148"/>
      <c r="G216" s="148"/>
      <c r="H216" s="152"/>
      <c r="I216" s="153"/>
      <c r="J216" s="154"/>
      <c r="K216" s="153"/>
    </row>
    <row r="217" spans="1:11" ht="15.75" customHeight="1" x14ac:dyDescent="0.25">
      <c r="A217" s="148"/>
      <c r="B217" s="151"/>
      <c r="C217" s="151"/>
      <c r="D217" s="148"/>
      <c r="E217" s="148"/>
      <c r="F217" s="148"/>
      <c r="G217" s="148"/>
      <c r="H217" s="152"/>
      <c r="I217" s="153"/>
      <c r="J217" s="154"/>
      <c r="K217" s="153"/>
    </row>
    <row r="218" spans="1:11" ht="15.75" customHeight="1" x14ac:dyDescent="0.25">
      <c r="A218" s="148"/>
      <c r="B218" s="151"/>
      <c r="C218" s="151"/>
      <c r="D218" s="148"/>
      <c r="E218" s="148"/>
      <c r="F218" s="148"/>
      <c r="G218" s="148"/>
      <c r="H218" s="152"/>
      <c r="I218" s="153"/>
      <c r="J218" s="154"/>
      <c r="K218" s="153"/>
    </row>
    <row r="219" spans="1:11" ht="15.75" customHeight="1" x14ac:dyDescent="0.25">
      <c r="A219" s="148"/>
      <c r="B219" s="151"/>
      <c r="C219" s="151"/>
      <c r="D219" s="148"/>
      <c r="E219" s="148"/>
      <c r="F219" s="148"/>
      <c r="G219" s="148"/>
      <c r="H219" s="152"/>
      <c r="I219" s="153"/>
      <c r="J219" s="154"/>
      <c r="K219" s="153"/>
    </row>
    <row r="220" spans="1:11" ht="15.75" customHeight="1" x14ac:dyDescent="0.25">
      <c r="A220" s="148"/>
      <c r="B220" s="151"/>
      <c r="C220" s="151"/>
      <c r="D220" s="148"/>
      <c r="E220" s="148"/>
      <c r="F220" s="148"/>
      <c r="G220" s="148"/>
      <c r="H220" s="152"/>
      <c r="I220" s="153"/>
      <c r="J220" s="154"/>
      <c r="K220" s="153"/>
    </row>
    <row r="221" spans="1:11" ht="15.75" customHeight="1" x14ac:dyDescent="0.25">
      <c r="A221" s="148"/>
      <c r="B221" s="151"/>
      <c r="C221" s="151"/>
      <c r="D221" s="148"/>
      <c r="E221" s="148"/>
      <c r="F221" s="148"/>
      <c r="G221" s="148"/>
      <c r="H221" s="152"/>
      <c r="I221" s="153"/>
      <c r="J221" s="154"/>
      <c r="K221" s="153"/>
    </row>
    <row r="222" spans="1:11" ht="15.75" customHeight="1" x14ac:dyDescent="0.25">
      <c r="A222" s="148"/>
      <c r="B222" s="151"/>
      <c r="C222" s="151"/>
      <c r="D222" s="148"/>
      <c r="E222" s="148"/>
      <c r="F222" s="148"/>
      <c r="G222" s="148"/>
      <c r="H222" s="152"/>
      <c r="I222" s="153"/>
      <c r="J222" s="154"/>
      <c r="K222" s="153"/>
    </row>
    <row r="223" spans="1:11" ht="15.75" customHeight="1" x14ac:dyDescent="0.25">
      <c r="A223" s="148"/>
      <c r="B223" s="151"/>
      <c r="C223" s="151"/>
      <c r="D223" s="148"/>
      <c r="E223" s="148"/>
      <c r="F223" s="148"/>
      <c r="G223" s="148"/>
      <c r="H223" s="152"/>
      <c r="I223" s="153"/>
      <c r="J223" s="154"/>
      <c r="K223" s="153"/>
    </row>
    <row r="224" spans="1:11" ht="15.75" customHeight="1" x14ac:dyDescent="0.25">
      <c r="A224" s="148"/>
      <c r="B224" s="151"/>
      <c r="C224" s="151"/>
      <c r="D224" s="148"/>
      <c r="E224" s="148"/>
      <c r="F224" s="148"/>
      <c r="G224" s="148"/>
      <c r="H224" s="152"/>
      <c r="I224" s="153"/>
      <c r="J224" s="154"/>
      <c r="K224" s="153"/>
    </row>
    <row r="225" spans="1:11" ht="15.75" customHeight="1" x14ac:dyDescent="0.25">
      <c r="A225" s="148"/>
      <c r="B225" s="151"/>
      <c r="C225" s="151"/>
      <c r="D225" s="148"/>
      <c r="E225" s="148"/>
      <c r="F225" s="148"/>
      <c r="G225" s="148"/>
      <c r="H225" s="152"/>
      <c r="I225" s="153"/>
      <c r="J225" s="154"/>
      <c r="K225" s="153"/>
    </row>
    <row r="226" spans="1:11" ht="15.75" customHeight="1" x14ac:dyDescent="0.25">
      <c r="A226" s="148"/>
      <c r="B226" s="151"/>
      <c r="C226" s="151"/>
      <c r="D226" s="148"/>
      <c r="E226" s="148"/>
      <c r="F226" s="148"/>
      <c r="G226" s="148"/>
      <c r="H226" s="152"/>
      <c r="I226" s="153"/>
      <c r="J226" s="154"/>
      <c r="K226" s="153"/>
    </row>
    <row r="227" spans="1:11" ht="15.75" customHeight="1" x14ac:dyDescent="0.25">
      <c r="A227" s="148"/>
      <c r="B227" s="151"/>
      <c r="C227" s="151"/>
      <c r="D227" s="148"/>
      <c r="E227" s="148"/>
      <c r="F227" s="148"/>
      <c r="G227" s="148"/>
      <c r="H227" s="152"/>
      <c r="I227" s="153"/>
      <c r="J227" s="154"/>
      <c r="K227" s="153"/>
    </row>
    <row r="228" spans="1:11" ht="15.75" customHeight="1" x14ac:dyDescent="0.25">
      <c r="A228" s="148"/>
      <c r="B228" s="151"/>
      <c r="C228" s="151"/>
      <c r="D228" s="148"/>
      <c r="E228" s="148"/>
      <c r="F228" s="148"/>
      <c r="G228" s="148"/>
      <c r="H228" s="152"/>
      <c r="I228" s="153"/>
      <c r="J228" s="154"/>
      <c r="K228" s="153"/>
    </row>
    <row r="229" spans="1:11" ht="15.75" customHeight="1" x14ac:dyDescent="0.25">
      <c r="A229" s="148"/>
      <c r="B229" s="151"/>
      <c r="C229" s="151"/>
      <c r="D229" s="148"/>
      <c r="E229" s="148"/>
      <c r="F229" s="148"/>
      <c r="G229" s="148"/>
      <c r="H229" s="152"/>
      <c r="I229" s="153"/>
      <c r="J229" s="154"/>
      <c r="K229" s="153"/>
    </row>
    <row r="230" spans="1:11" ht="15.75" customHeight="1" x14ac:dyDescent="0.25">
      <c r="A230" s="148"/>
      <c r="B230" s="151"/>
      <c r="C230" s="151"/>
      <c r="D230" s="148"/>
      <c r="E230" s="148"/>
      <c r="F230" s="148"/>
      <c r="G230" s="148"/>
      <c r="H230" s="152"/>
      <c r="I230" s="153"/>
      <c r="J230" s="154"/>
      <c r="K230" s="153"/>
    </row>
    <row r="231" spans="1:11" ht="15.75" customHeight="1" x14ac:dyDescent="0.25">
      <c r="A231" s="148"/>
      <c r="B231" s="151"/>
      <c r="C231" s="151"/>
      <c r="D231" s="148"/>
      <c r="E231" s="148"/>
      <c r="F231" s="148"/>
      <c r="G231" s="148"/>
      <c r="H231" s="152"/>
      <c r="I231" s="153"/>
      <c r="J231" s="154"/>
      <c r="K231" s="153"/>
    </row>
    <row r="232" spans="1:11" ht="15.75" customHeight="1" x14ac:dyDescent="0.25">
      <c r="A232" s="148"/>
      <c r="B232" s="151"/>
      <c r="C232" s="151"/>
      <c r="D232" s="148"/>
      <c r="E232" s="148"/>
      <c r="F232" s="148"/>
      <c r="G232" s="148"/>
      <c r="H232" s="152"/>
      <c r="I232" s="153"/>
      <c r="J232" s="154"/>
      <c r="K232" s="153"/>
    </row>
    <row r="233" spans="1:11" ht="15.75" customHeight="1" x14ac:dyDescent="0.25">
      <c r="A233" s="148"/>
      <c r="B233" s="151"/>
      <c r="C233" s="151"/>
      <c r="D233" s="148"/>
      <c r="E233" s="148"/>
      <c r="F233" s="148"/>
      <c r="G233" s="148"/>
      <c r="H233" s="152"/>
      <c r="I233" s="153"/>
      <c r="J233" s="154"/>
      <c r="K233" s="153"/>
    </row>
    <row r="234" spans="1:11" ht="15.75" customHeight="1" x14ac:dyDescent="0.25">
      <c r="A234" s="148"/>
      <c r="B234" s="151"/>
      <c r="C234" s="151"/>
      <c r="D234" s="148"/>
      <c r="E234" s="148"/>
      <c r="F234" s="148"/>
      <c r="G234" s="148"/>
      <c r="H234" s="152"/>
      <c r="I234" s="153"/>
      <c r="J234" s="154"/>
      <c r="K234" s="153"/>
    </row>
    <row r="235" spans="1:11" ht="15.75" customHeight="1" x14ac:dyDescent="0.25">
      <c r="A235" s="148"/>
      <c r="B235" s="151"/>
      <c r="C235" s="151"/>
      <c r="D235" s="148"/>
      <c r="E235" s="148"/>
      <c r="F235" s="148"/>
      <c r="G235" s="148"/>
      <c r="H235" s="152"/>
      <c r="I235" s="153"/>
      <c r="J235" s="154"/>
      <c r="K235" s="153"/>
    </row>
    <row r="236" spans="1:11" ht="15.75" customHeight="1" x14ac:dyDescent="0.25">
      <c r="A236" s="148"/>
      <c r="B236" s="151"/>
      <c r="C236" s="151"/>
      <c r="D236" s="148"/>
      <c r="E236" s="148"/>
      <c r="F236" s="148"/>
      <c r="G236" s="148"/>
      <c r="H236" s="152"/>
      <c r="I236" s="153"/>
      <c r="J236" s="154"/>
      <c r="K236" s="153"/>
    </row>
    <row r="237" spans="1:11" ht="15.75" customHeight="1" x14ac:dyDescent="0.25">
      <c r="A237" s="148"/>
      <c r="B237" s="151"/>
      <c r="C237" s="151"/>
      <c r="D237" s="148"/>
      <c r="E237" s="148"/>
      <c r="F237" s="148"/>
      <c r="G237" s="148"/>
      <c r="H237" s="152"/>
      <c r="I237" s="153"/>
      <c r="J237" s="154"/>
      <c r="K237" s="153"/>
    </row>
    <row r="238" spans="1:11" ht="15.75" customHeight="1" x14ac:dyDescent="0.25">
      <c r="A238" s="148"/>
      <c r="B238" s="151"/>
      <c r="C238" s="151"/>
      <c r="D238" s="148"/>
      <c r="E238" s="148"/>
      <c r="F238" s="148"/>
      <c r="G238" s="148"/>
      <c r="H238" s="152"/>
      <c r="I238" s="153"/>
      <c r="J238" s="154"/>
      <c r="K238" s="153"/>
    </row>
    <row r="239" spans="1:11" ht="15.75" customHeight="1" x14ac:dyDescent="0.25">
      <c r="A239" s="148"/>
      <c r="B239" s="151"/>
      <c r="C239" s="151"/>
      <c r="D239" s="148"/>
      <c r="E239" s="148"/>
      <c r="F239" s="148"/>
      <c r="G239" s="148"/>
      <c r="H239" s="152"/>
      <c r="I239" s="153"/>
      <c r="J239" s="154"/>
      <c r="K239" s="153"/>
    </row>
    <row r="240" spans="1:11" ht="15.75" customHeight="1" x14ac:dyDescent="0.25">
      <c r="A240" s="148"/>
      <c r="B240" s="151"/>
      <c r="C240" s="151"/>
      <c r="D240" s="148"/>
      <c r="E240" s="148"/>
      <c r="F240" s="148"/>
      <c r="G240" s="148"/>
      <c r="H240" s="152"/>
      <c r="I240" s="153"/>
      <c r="J240" s="154"/>
      <c r="K240" s="153"/>
    </row>
    <row r="241" spans="1:11" ht="15.75" customHeight="1" x14ac:dyDescent="0.25">
      <c r="A241" s="148"/>
      <c r="B241" s="151"/>
      <c r="C241" s="151"/>
      <c r="D241" s="148"/>
      <c r="E241" s="148"/>
      <c r="F241" s="148"/>
      <c r="G241" s="148"/>
      <c r="H241" s="152"/>
      <c r="I241" s="153"/>
      <c r="J241" s="154"/>
      <c r="K241" s="153"/>
    </row>
    <row r="242" spans="1:11" ht="15.75" customHeight="1" x14ac:dyDescent="0.25">
      <c r="A242" s="148"/>
      <c r="B242" s="151"/>
      <c r="C242" s="151"/>
      <c r="D242" s="148"/>
      <c r="E242" s="148"/>
      <c r="F242" s="148"/>
      <c r="G242" s="148"/>
      <c r="H242" s="152"/>
      <c r="I242" s="153"/>
      <c r="J242" s="154"/>
      <c r="K242" s="153"/>
    </row>
    <row r="243" spans="1:11" ht="15.75" customHeight="1" x14ac:dyDescent="0.25">
      <c r="A243" s="148"/>
      <c r="B243" s="151"/>
      <c r="C243" s="151"/>
      <c r="D243" s="148"/>
      <c r="E243" s="148"/>
      <c r="F243" s="148"/>
      <c r="G243" s="148"/>
      <c r="H243" s="152"/>
      <c r="I243" s="153"/>
      <c r="J243" s="154"/>
      <c r="K243" s="153"/>
    </row>
    <row r="244" spans="1:11" ht="15.75" customHeight="1" x14ac:dyDescent="0.25">
      <c r="A244" s="148"/>
      <c r="B244" s="151"/>
      <c r="C244" s="151"/>
      <c r="D244" s="148"/>
      <c r="E244" s="148"/>
      <c r="F244" s="148"/>
      <c r="G244" s="148"/>
      <c r="H244" s="152"/>
      <c r="I244" s="153"/>
      <c r="J244" s="154"/>
      <c r="K244" s="153"/>
    </row>
    <row r="245" spans="1:11" ht="15.75" customHeight="1" x14ac:dyDescent="0.25">
      <c r="A245" s="148"/>
      <c r="B245" s="151"/>
      <c r="C245" s="151"/>
      <c r="D245" s="148"/>
      <c r="E245" s="148"/>
      <c r="F245" s="148"/>
      <c r="G245" s="148"/>
      <c r="H245" s="152"/>
      <c r="I245" s="153"/>
      <c r="J245" s="154"/>
      <c r="K245" s="153"/>
    </row>
    <row r="246" spans="1:11" ht="15.75" customHeight="1" x14ac:dyDescent="0.25">
      <c r="A246" s="148"/>
      <c r="B246" s="151"/>
      <c r="C246" s="151"/>
      <c r="D246" s="148"/>
      <c r="E246" s="148"/>
      <c r="F246" s="148"/>
      <c r="G246" s="148"/>
      <c r="H246" s="152"/>
      <c r="I246" s="153"/>
      <c r="J246" s="154"/>
      <c r="K246" s="153"/>
    </row>
    <row r="247" spans="1:11" ht="15.75" customHeight="1" x14ac:dyDescent="0.25">
      <c r="A247" s="148"/>
      <c r="B247" s="151"/>
      <c r="C247" s="151"/>
      <c r="D247" s="148"/>
      <c r="E247" s="148"/>
      <c r="F247" s="148"/>
      <c r="G247" s="148"/>
      <c r="H247" s="152"/>
      <c r="I247" s="153"/>
      <c r="J247" s="154"/>
      <c r="K247" s="153"/>
    </row>
    <row r="248" spans="1:11" ht="15.75" customHeight="1" x14ac:dyDescent="0.25">
      <c r="A248" s="148"/>
      <c r="B248" s="151"/>
      <c r="C248" s="151"/>
      <c r="D248" s="148"/>
      <c r="E248" s="148"/>
      <c r="F248" s="148"/>
      <c r="G248" s="148"/>
      <c r="H248" s="152"/>
      <c r="I248" s="153"/>
      <c r="J248" s="154"/>
      <c r="K248" s="153"/>
    </row>
    <row r="249" spans="1:11" ht="15.75" customHeight="1" x14ac:dyDescent="0.25">
      <c r="A249" s="148"/>
      <c r="B249" s="151"/>
      <c r="C249" s="151"/>
      <c r="D249" s="148"/>
      <c r="E249" s="148"/>
      <c r="F249" s="148"/>
      <c r="G249" s="148"/>
      <c r="H249" s="152"/>
      <c r="I249" s="153"/>
      <c r="J249" s="154"/>
      <c r="K249" s="153"/>
    </row>
    <row r="250" spans="1:11" ht="15.75" customHeight="1" x14ac:dyDescent="0.25">
      <c r="A250" s="148"/>
      <c r="B250" s="151"/>
      <c r="C250" s="151"/>
      <c r="D250" s="148"/>
      <c r="E250" s="148"/>
      <c r="F250" s="148"/>
      <c r="G250" s="148"/>
      <c r="H250" s="152"/>
      <c r="I250" s="153"/>
      <c r="J250" s="154"/>
      <c r="K250" s="153"/>
    </row>
    <row r="251" spans="1:11" ht="15.75" customHeight="1" x14ac:dyDescent="0.25">
      <c r="A251" s="148"/>
      <c r="B251" s="151"/>
      <c r="C251" s="151"/>
      <c r="D251" s="148"/>
      <c r="E251" s="148"/>
      <c r="F251" s="148"/>
      <c r="G251" s="148"/>
      <c r="H251" s="152"/>
      <c r="I251" s="153"/>
      <c r="J251" s="154"/>
      <c r="K251" s="153"/>
    </row>
    <row r="252" spans="1:11" ht="15.75" customHeight="1" x14ac:dyDescent="0.25">
      <c r="A252" s="148"/>
      <c r="B252" s="151"/>
      <c r="C252" s="151"/>
      <c r="D252" s="148"/>
      <c r="E252" s="148"/>
      <c r="F252" s="148"/>
      <c r="G252" s="148"/>
      <c r="H252" s="152"/>
      <c r="I252" s="153"/>
      <c r="J252" s="154"/>
      <c r="K252" s="153"/>
    </row>
    <row r="253" spans="1:11" ht="15.75" customHeight="1" x14ac:dyDescent="0.25">
      <c r="A253" s="148"/>
      <c r="B253" s="151"/>
      <c r="C253" s="151"/>
      <c r="D253" s="148"/>
      <c r="E253" s="148"/>
      <c r="F253" s="148"/>
      <c r="G253" s="148"/>
      <c r="H253" s="152"/>
      <c r="I253" s="153"/>
      <c r="J253" s="154"/>
      <c r="K253" s="153"/>
    </row>
    <row r="254" spans="1:11" ht="15.75" customHeight="1" x14ac:dyDescent="0.25">
      <c r="A254" s="148"/>
      <c r="B254" s="151"/>
      <c r="C254" s="151"/>
      <c r="D254" s="148"/>
      <c r="E254" s="148"/>
      <c r="F254" s="148"/>
      <c r="G254" s="148"/>
      <c r="H254" s="152"/>
      <c r="I254" s="153"/>
      <c r="J254" s="154"/>
      <c r="K254" s="153"/>
    </row>
    <row r="255" spans="1:11" ht="15.75" customHeight="1" x14ac:dyDescent="0.25">
      <c r="A255" s="148"/>
      <c r="B255" s="151"/>
      <c r="C255" s="151"/>
      <c r="D255" s="148"/>
      <c r="E255" s="148"/>
      <c r="F255" s="148"/>
      <c r="G255" s="148"/>
      <c r="H255" s="152"/>
      <c r="I255" s="153"/>
      <c r="J255" s="154"/>
      <c r="K255" s="153"/>
    </row>
    <row r="256" spans="1:11" ht="15.75" customHeight="1" x14ac:dyDescent="0.25">
      <c r="A256" s="148"/>
      <c r="B256" s="151"/>
      <c r="C256" s="151"/>
      <c r="D256" s="148"/>
      <c r="E256" s="148"/>
      <c r="F256" s="148"/>
      <c r="G256" s="148"/>
      <c r="H256" s="152"/>
      <c r="I256" s="153"/>
      <c r="J256" s="154"/>
      <c r="K256" s="153"/>
    </row>
    <row r="257" spans="1:11" ht="15.75" customHeight="1" x14ac:dyDescent="0.25">
      <c r="A257" s="148"/>
      <c r="B257" s="151"/>
      <c r="C257" s="151"/>
      <c r="D257" s="148"/>
      <c r="E257" s="148"/>
      <c r="F257" s="148"/>
      <c r="G257" s="148"/>
      <c r="H257" s="152"/>
      <c r="I257" s="153"/>
      <c r="J257" s="154"/>
      <c r="K257" s="153"/>
    </row>
    <row r="258" spans="1:11" ht="15.75" customHeight="1" x14ac:dyDescent="0.25">
      <c r="A258" s="148"/>
      <c r="B258" s="151"/>
      <c r="C258" s="151"/>
      <c r="D258" s="148"/>
      <c r="E258" s="148"/>
      <c r="F258" s="148"/>
      <c r="G258" s="148"/>
      <c r="H258" s="152"/>
      <c r="I258" s="153"/>
      <c r="J258" s="154"/>
      <c r="K258" s="153"/>
    </row>
    <row r="259" spans="1:11" ht="15.75" customHeight="1" x14ac:dyDescent="0.25">
      <c r="A259" s="148"/>
      <c r="B259" s="151"/>
      <c r="C259" s="151"/>
      <c r="D259" s="148"/>
      <c r="E259" s="148"/>
      <c r="F259" s="148"/>
      <c r="G259" s="148"/>
      <c r="H259" s="152"/>
      <c r="I259" s="153"/>
      <c r="J259" s="154"/>
      <c r="K259" s="153"/>
    </row>
    <row r="260" spans="1:11" ht="15.75" customHeight="1" x14ac:dyDescent="0.25">
      <c r="A260" s="148"/>
      <c r="B260" s="151"/>
      <c r="C260" s="151"/>
      <c r="D260" s="148"/>
      <c r="E260" s="148"/>
      <c r="F260" s="148"/>
      <c r="G260" s="148"/>
      <c r="H260" s="152"/>
      <c r="I260" s="153"/>
      <c r="J260" s="154"/>
      <c r="K260" s="153"/>
    </row>
    <row r="261" spans="1:11" ht="15.75" customHeight="1" x14ac:dyDescent="0.25">
      <c r="A261" s="148"/>
      <c r="B261" s="151"/>
      <c r="C261" s="151"/>
      <c r="D261" s="148"/>
      <c r="E261" s="148"/>
      <c r="F261" s="148"/>
      <c r="G261" s="148"/>
      <c r="H261" s="152"/>
      <c r="I261" s="153"/>
      <c r="J261" s="154"/>
      <c r="K261" s="153"/>
    </row>
    <row r="262" spans="1:11" ht="15.75" customHeight="1" x14ac:dyDescent="0.25">
      <c r="A262" s="148"/>
      <c r="B262" s="151"/>
      <c r="C262" s="151"/>
      <c r="D262" s="148"/>
      <c r="E262" s="148"/>
      <c r="F262" s="148"/>
      <c r="G262" s="148"/>
      <c r="H262" s="152"/>
      <c r="I262" s="153"/>
      <c r="J262" s="154"/>
      <c r="K262" s="153"/>
    </row>
    <row r="263" spans="1:11" ht="15.75" customHeight="1" x14ac:dyDescent="0.25">
      <c r="A263" s="148"/>
      <c r="B263" s="151"/>
      <c r="C263" s="151"/>
      <c r="D263" s="148"/>
      <c r="E263" s="148"/>
      <c r="F263" s="148"/>
      <c r="G263" s="148"/>
      <c r="H263" s="152"/>
      <c r="I263" s="153"/>
      <c r="J263" s="154"/>
      <c r="K263" s="153"/>
    </row>
    <row r="264" spans="1:11" ht="15.75" customHeight="1" x14ac:dyDescent="0.25">
      <c r="A264" s="148"/>
      <c r="B264" s="151"/>
      <c r="C264" s="151"/>
      <c r="D264" s="148"/>
      <c r="E264" s="148"/>
      <c r="F264" s="148"/>
      <c r="G264" s="148"/>
      <c r="H264" s="152"/>
      <c r="I264" s="153"/>
      <c r="J264" s="154"/>
      <c r="K264" s="153"/>
    </row>
    <row r="265" spans="1:11" ht="15.75" customHeight="1" x14ac:dyDescent="0.25">
      <c r="A265" s="148"/>
      <c r="B265" s="151"/>
      <c r="C265" s="151"/>
      <c r="D265" s="148"/>
      <c r="E265" s="148"/>
      <c r="F265" s="148"/>
      <c r="G265" s="148"/>
      <c r="H265" s="152"/>
      <c r="I265" s="153"/>
      <c r="J265" s="154"/>
      <c r="K265" s="153"/>
    </row>
    <row r="266" spans="1:11" ht="15.75" customHeight="1" x14ac:dyDescent="0.25">
      <c r="A266" s="148"/>
      <c r="B266" s="151"/>
      <c r="C266" s="151"/>
      <c r="D266" s="148"/>
      <c r="E266" s="148"/>
      <c r="F266" s="148"/>
      <c r="G266" s="148"/>
      <c r="H266" s="152"/>
      <c r="I266" s="153"/>
      <c r="J266" s="154"/>
      <c r="K266" s="153"/>
    </row>
    <row r="267" spans="1:11" ht="15.75" customHeight="1" x14ac:dyDescent="0.25">
      <c r="A267" s="148"/>
      <c r="B267" s="151"/>
      <c r="C267" s="151"/>
      <c r="D267" s="148"/>
      <c r="E267" s="148"/>
      <c r="F267" s="148"/>
      <c r="G267" s="148"/>
      <c r="H267" s="152"/>
      <c r="I267" s="153"/>
      <c r="J267" s="154"/>
      <c r="K267" s="153"/>
    </row>
    <row r="268" spans="1:11" ht="15.75" customHeight="1" x14ac:dyDescent="0.25">
      <c r="A268" s="148"/>
      <c r="B268" s="151"/>
      <c r="C268" s="151"/>
      <c r="D268" s="148"/>
      <c r="E268" s="148"/>
      <c r="F268" s="148"/>
      <c r="G268" s="148"/>
      <c r="H268" s="152"/>
      <c r="I268" s="153"/>
      <c r="J268" s="154"/>
      <c r="K268" s="153"/>
    </row>
    <row r="269" spans="1:11" ht="15.75" customHeight="1" x14ac:dyDescent="0.25">
      <c r="A269" s="148"/>
      <c r="B269" s="151"/>
      <c r="C269" s="151"/>
      <c r="D269" s="148"/>
      <c r="E269" s="148"/>
      <c r="F269" s="148"/>
      <c r="G269" s="148"/>
      <c r="H269" s="152"/>
      <c r="I269" s="153"/>
      <c r="J269" s="154"/>
      <c r="K269" s="153"/>
    </row>
    <row r="270" spans="1:11" ht="15.75" customHeight="1" x14ac:dyDescent="0.25">
      <c r="A270" s="148"/>
      <c r="B270" s="151"/>
      <c r="C270" s="151"/>
      <c r="D270" s="148"/>
      <c r="E270" s="148"/>
      <c r="F270" s="148"/>
      <c r="G270" s="148"/>
      <c r="H270" s="152"/>
      <c r="I270" s="153"/>
      <c r="J270" s="154"/>
      <c r="K270" s="153"/>
    </row>
    <row r="271" spans="1:11" ht="15.75" customHeight="1" x14ac:dyDescent="0.25">
      <c r="A271" s="148"/>
      <c r="B271" s="151"/>
      <c r="C271" s="151"/>
      <c r="D271" s="148"/>
      <c r="E271" s="148"/>
      <c r="F271" s="148"/>
      <c r="G271" s="148"/>
      <c r="H271" s="152"/>
      <c r="I271" s="153"/>
      <c r="J271" s="154"/>
      <c r="K271" s="153"/>
    </row>
    <row r="272" spans="1:11" ht="15.75" customHeight="1" x14ac:dyDescent="0.25">
      <c r="A272" s="148"/>
      <c r="B272" s="151"/>
      <c r="C272" s="151"/>
      <c r="D272" s="148"/>
      <c r="E272" s="148"/>
      <c r="F272" s="148"/>
      <c r="G272" s="148"/>
      <c r="H272" s="152"/>
      <c r="I272" s="153"/>
      <c r="J272" s="154"/>
      <c r="K272" s="153"/>
    </row>
    <row r="273" spans="1:11" ht="15.75" customHeight="1" x14ac:dyDescent="0.25">
      <c r="A273" s="148"/>
      <c r="B273" s="151"/>
      <c r="C273" s="151"/>
      <c r="D273" s="148"/>
      <c r="E273" s="148"/>
      <c r="F273" s="148"/>
      <c r="G273" s="148"/>
      <c r="H273" s="152"/>
      <c r="I273" s="153"/>
      <c r="J273" s="154"/>
      <c r="K273" s="153"/>
    </row>
    <row r="274" spans="1:11" ht="15.75" customHeight="1" x14ac:dyDescent="0.25">
      <c r="A274" s="148"/>
      <c r="B274" s="151"/>
      <c r="C274" s="151"/>
      <c r="D274" s="148"/>
      <c r="E274" s="148"/>
      <c r="F274" s="148"/>
      <c r="G274" s="148"/>
      <c r="H274" s="152"/>
      <c r="I274" s="153"/>
      <c r="J274" s="154"/>
      <c r="K274" s="153"/>
    </row>
    <row r="275" spans="1:11" ht="15.75" customHeight="1" x14ac:dyDescent="0.25">
      <c r="A275" s="148"/>
      <c r="B275" s="151"/>
      <c r="C275" s="151"/>
      <c r="D275" s="148"/>
      <c r="E275" s="148"/>
      <c r="F275" s="148"/>
      <c r="G275" s="148"/>
      <c r="H275" s="152"/>
      <c r="I275" s="153"/>
      <c r="J275" s="154"/>
      <c r="K275" s="153"/>
    </row>
    <row r="276" spans="1:11" ht="15.75" customHeight="1" x14ac:dyDescent="0.25">
      <c r="A276" s="148"/>
      <c r="B276" s="151"/>
      <c r="C276" s="151"/>
      <c r="D276" s="148"/>
      <c r="E276" s="148"/>
      <c r="F276" s="148"/>
      <c r="G276" s="148"/>
      <c r="H276" s="152"/>
      <c r="I276" s="153"/>
      <c r="J276" s="154"/>
      <c r="K276" s="153"/>
    </row>
    <row r="277" spans="1:11" ht="15.75" customHeight="1" x14ac:dyDescent="0.25">
      <c r="A277" s="148"/>
      <c r="B277" s="151"/>
      <c r="C277" s="151"/>
      <c r="D277" s="148"/>
      <c r="E277" s="148"/>
      <c r="F277" s="148"/>
      <c r="G277" s="148"/>
      <c r="H277" s="152"/>
      <c r="I277" s="153"/>
      <c r="J277" s="154"/>
      <c r="K277" s="153"/>
    </row>
    <row r="278" spans="1:11" ht="15.75" customHeight="1" x14ac:dyDescent="0.25">
      <c r="A278" s="148"/>
      <c r="B278" s="151"/>
      <c r="C278" s="151"/>
      <c r="D278" s="148"/>
      <c r="E278" s="148"/>
      <c r="F278" s="148"/>
      <c r="G278" s="148"/>
      <c r="H278" s="152"/>
      <c r="I278" s="153"/>
      <c r="J278" s="154"/>
      <c r="K278" s="153"/>
    </row>
    <row r="279" spans="1:11" ht="15.75" customHeight="1" x14ac:dyDescent="0.25">
      <c r="A279" s="148"/>
      <c r="B279" s="151"/>
      <c r="C279" s="151"/>
      <c r="D279" s="148"/>
      <c r="E279" s="148"/>
      <c r="F279" s="148"/>
      <c r="G279" s="148"/>
      <c r="H279" s="152"/>
      <c r="I279" s="153"/>
      <c r="J279" s="154"/>
      <c r="K279" s="153"/>
    </row>
    <row r="280" spans="1:11" ht="15.75" customHeight="1" x14ac:dyDescent="0.25">
      <c r="A280" s="148"/>
      <c r="B280" s="151"/>
      <c r="C280" s="151"/>
      <c r="D280" s="148"/>
      <c r="E280" s="148"/>
      <c r="F280" s="148"/>
      <c r="G280" s="148"/>
      <c r="H280" s="152"/>
      <c r="I280" s="153"/>
      <c r="J280" s="154"/>
      <c r="K280" s="153"/>
    </row>
    <row r="281" spans="1:11" ht="15.75" customHeight="1" x14ac:dyDescent="0.25">
      <c r="A281" s="148"/>
      <c r="B281" s="151"/>
      <c r="C281" s="151"/>
      <c r="D281" s="148"/>
      <c r="E281" s="148"/>
      <c r="F281" s="148"/>
      <c r="G281" s="148"/>
      <c r="H281" s="152"/>
      <c r="I281" s="153"/>
      <c r="J281" s="154"/>
      <c r="K281" s="153"/>
    </row>
    <row r="282" spans="1:11" ht="15.75" customHeight="1" x14ac:dyDescent="0.25">
      <c r="A282" s="148"/>
      <c r="B282" s="151"/>
      <c r="C282" s="151"/>
      <c r="D282" s="148"/>
      <c r="E282" s="148"/>
      <c r="F282" s="148"/>
      <c r="G282" s="148"/>
      <c r="H282" s="152"/>
      <c r="I282" s="153"/>
      <c r="J282" s="154"/>
      <c r="K282" s="153"/>
    </row>
    <row r="283" spans="1:11" ht="15.75" customHeight="1" x14ac:dyDescent="0.25">
      <c r="A283" s="148"/>
      <c r="B283" s="151"/>
      <c r="C283" s="151"/>
      <c r="D283" s="148"/>
      <c r="E283" s="148"/>
      <c r="F283" s="148"/>
      <c r="G283" s="148"/>
      <c r="H283" s="152"/>
      <c r="I283" s="153"/>
      <c r="J283" s="154"/>
      <c r="K283" s="153"/>
    </row>
    <row r="284" spans="1:11" ht="15.75" customHeight="1" x14ac:dyDescent="0.25">
      <c r="A284" s="148"/>
      <c r="B284" s="151"/>
      <c r="C284" s="151"/>
      <c r="D284" s="148"/>
      <c r="E284" s="148"/>
      <c r="F284" s="148"/>
      <c r="G284" s="148"/>
      <c r="H284" s="152"/>
      <c r="I284" s="153"/>
      <c r="J284" s="154"/>
      <c r="K284" s="153"/>
    </row>
    <row r="285" spans="1:11" ht="15.75" customHeight="1" x14ac:dyDescent="0.25">
      <c r="A285" s="148"/>
      <c r="B285" s="151"/>
      <c r="C285" s="151"/>
      <c r="D285" s="148"/>
      <c r="E285" s="148"/>
      <c r="F285" s="148"/>
      <c r="G285" s="148"/>
      <c r="H285" s="152"/>
      <c r="I285" s="153"/>
      <c r="J285" s="154"/>
      <c r="K285" s="153"/>
    </row>
    <row r="286" spans="1:11" ht="15.75" customHeight="1" x14ac:dyDescent="0.25">
      <c r="A286" s="148"/>
      <c r="B286" s="151"/>
      <c r="C286" s="151"/>
      <c r="D286" s="148"/>
      <c r="E286" s="148"/>
      <c r="F286" s="148"/>
      <c r="G286" s="148"/>
      <c r="H286" s="152"/>
      <c r="I286" s="153"/>
      <c r="J286" s="154"/>
      <c r="K286" s="153"/>
    </row>
    <row r="287" spans="1:11" ht="15.75" customHeight="1" x14ac:dyDescent="0.25">
      <c r="A287" s="148"/>
      <c r="B287" s="151"/>
      <c r="C287" s="151"/>
      <c r="D287" s="148"/>
      <c r="E287" s="148"/>
      <c r="F287" s="148"/>
      <c r="G287" s="148"/>
      <c r="H287" s="152"/>
      <c r="I287" s="153"/>
      <c r="J287" s="154"/>
      <c r="K287" s="153"/>
    </row>
    <row r="288" spans="1:11" ht="15.75" customHeight="1" x14ac:dyDescent="0.25">
      <c r="A288" s="148"/>
      <c r="B288" s="151"/>
      <c r="C288" s="151"/>
      <c r="D288" s="148"/>
      <c r="E288" s="148"/>
      <c r="F288" s="148"/>
      <c r="G288" s="148"/>
      <c r="H288" s="152"/>
      <c r="I288" s="153"/>
      <c r="J288" s="154"/>
      <c r="K288" s="153"/>
    </row>
    <row r="289" spans="1:11" ht="15.75" customHeight="1" x14ac:dyDescent="0.25">
      <c r="A289" s="148"/>
      <c r="B289" s="151"/>
      <c r="C289" s="151"/>
      <c r="D289" s="148"/>
      <c r="E289" s="148"/>
      <c r="F289" s="148"/>
      <c r="G289" s="148"/>
      <c r="H289" s="152"/>
      <c r="I289" s="153"/>
      <c r="J289" s="154"/>
      <c r="K289" s="153"/>
    </row>
    <row r="290" spans="1:11" ht="15.75" customHeight="1" x14ac:dyDescent="0.25">
      <c r="A290" s="148"/>
      <c r="B290" s="151"/>
      <c r="C290" s="151"/>
      <c r="D290" s="148"/>
      <c r="E290" s="148"/>
      <c r="F290" s="148"/>
      <c r="G290" s="148"/>
      <c r="H290" s="152"/>
      <c r="I290" s="153"/>
      <c r="J290" s="154"/>
      <c r="K290" s="153"/>
    </row>
    <row r="291" spans="1:11" ht="15.75" customHeight="1" x14ac:dyDescent="0.25">
      <c r="A291" s="148"/>
      <c r="B291" s="151"/>
      <c r="C291" s="151"/>
      <c r="D291" s="148"/>
      <c r="E291" s="148"/>
      <c r="F291" s="148"/>
      <c r="G291" s="148"/>
      <c r="H291" s="152"/>
      <c r="I291" s="153"/>
      <c r="J291" s="154"/>
      <c r="K291" s="153"/>
    </row>
    <row r="292" spans="1:11" ht="15.75" customHeight="1" x14ac:dyDescent="0.25">
      <c r="A292" s="148"/>
      <c r="B292" s="151"/>
      <c r="C292" s="151"/>
      <c r="D292" s="148"/>
      <c r="E292" s="148"/>
      <c r="F292" s="148"/>
      <c r="G292" s="148"/>
      <c r="H292" s="152"/>
      <c r="I292" s="153"/>
      <c r="J292" s="154"/>
      <c r="K292" s="153"/>
    </row>
    <row r="293" spans="1:11" ht="15.75" customHeight="1" x14ac:dyDescent="0.25">
      <c r="A293" s="148"/>
      <c r="B293" s="151"/>
      <c r="C293" s="151"/>
      <c r="D293" s="148"/>
      <c r="E293" s="148"/>
      <c r="F293" s="148"/>
      <c r="G293" s="148"/>
      <c r="H293" s="152"/>
      <c r="I293" s="153"/>
      <c r="J293" s="154"/>
      <c r="K293" s="153"/>
    </row>
    <row r="294" spans="1:11" ht="15.75" customHeight="1" x14ac:dyDescent="0.25">
      <c r="A294" s="148"/>
      <c r="B294" s="151"/>
      <c r="C294" s="151"/>
      <c r="D294" s="148"/>
      <c r="E294" s="148"/>
      <c r="F294" s="148"/>
      <c r="G294" s="148"/>
      <c r="H294" s="152"/>
      <c r="I294" s="153"/>
      <c r="J294" s="154"/>
      <c r="K294" s="153"/>
    </row>
    <row r="295" spans="1:11" ht="15.75" customHeight="1" x14ac:dyDescent="0.25">
      <c r="A295" s="148"/>
      <c r="B295" s="151"/>
      <c r="C295" s="151"/>
      <c r="D295" s="148"/>
      <c r="E295" s="148"/>
      <c r="F295" s="148"/>
      <c r="G295" s="148"/>
      <c r="H295" s="152"/>
      <c r="I295" s="153"/>
      <c r="J295" s="154"/>
      <c r="K295" s="153"/>
    </row>
    <row r="296" spans="1:11" ht="15.75" customHeight="1" x14ac:dyDescent="0.25">
      <c r="A296" s="148"/>
      <c r="B296" s="151"/>
      <c r="C296" s="151"/>
      <c r="D296" s="148"/>
      <c r="E296" s="148"/>
      <c r="F296" s="148"/>
      <c r="G296" s="148"/>
      <c r="H296" s="152"/>
      <c r="I296" s="153"/>
      <c r="J296" s="154"/>
      <c r="K296" s="153"/>
    </row>
    <row r="297" spans="1:11" ht="15.75" customHeight="1" x14ac:dyDescent="0.25">
      <c r="A297" s="148"/>
      <c r="B297" s="151"/>
      <c r="C297" s="151"/>
      <c r="D297" s="148"/>
      <c r="E297" s="148"/>
      <c r="F297" s="148"/>
      <c r="G297" s="148"/>
      <c r="H297" s="152"/>
      <c r="I297" s="153"/>
      <c r="J297" s="154"/>
      <c r="K297" s="153"/>
    </row>
    <row r="298" spans="1:11" ht="15.75" customHeight="1" x14ac:dyDescent="0.25">
      <c r="A298" s="148"/>
      <c r="B298" s="151"/>
      <c r="C298" s="151"/>
      <c r="D298" s="148"/>
      <c r="E298" s="148"/>
      <c r="F298" s="148"/>
      <c r="G298" s="148"/>
      <c r="H298" s="152"/>
      <c r="I298" s="153"/>
      <c r="J298" s="154"/>
      <c r="K298" s="153"/>
    </row>
    <row r="299" spans="1:11" ht="15.75" customHeight="1" x14ac:dyDescent="0.25">
      <c r="A299" s="148"/>
      <c r="B299" s="151"/>
      <c r="C299" s="151"/>
      <c r="D299" s="148"/>
      <c r="E299" s="148"/>
      <c r="F299" s="148"/>
      <c r="G299" s="148"/>
      <c r="H299" s="152"/>
      <c r="I299" s="153"/>
      <c r="J299" s="154"/>
      <c r="K299" s="153"/>
    </row>
    <row r="300" spans="1:11" ht="15.75" customHeight="1" x14ac:dyDescent="0.25">
      <c r="A300" s="148"/>
      <c r="B300" s="151"/>
      <c r="C300" s="151"/>
      <c r="D300" s="148"/>
      <c r="E300" s="148"/>
      <c r="F300" s="148"/>
      <c r="G300" s="148"/>
      <c r="H300" s="152"/>
      <c r="I300" s="153"/>
      <c r="J300" s="154"/>
      <c r="K300" s="153"/>
    </row>
    <row r="301" spans="1:11" ht="15.75" customHeight="1" x14ac:dyDescent="0.25">
      <c r="A301" s="148"/>
      <c r="B301" s="151"/>
      <c r="C301" s="151"/>
      <c r="D301" s="148"/>
      <c r="E301" s="148"/>
      <c r="F301" s="148"/>
      <c r="G301" s="148"/>
      <c r="H301" s="152"/>
      <c r="I301" s="153"/>
      <c r="J301" s="154"/>
      <c r="K301" s="153"/>
    </row>
    <row r="302" spans="1:11" ht="15.75" customHeight="1" x14ac:dyDescent="0.25">
      <c r="A302" s="148"/>
      <c r="B302" s="151"/>
      <c r="C302" s="151"/>
      <c r="D302" s="148"/>
      <c r="E302" s="148"/>
      <c r="F302" s="148"/>
      <c r="G302" s="148"/>
      <c r="H302" s="152"/>
      <c r="I302" s="153"/>
      <c r="J302" s="154"/>
      <c r="K302" s="153"/>
    </row>
    <row r="303" spans="1:11" ht="15.75" customHeight="1" x14ac:dyDescent="0.25">
      <c r="A303" s="148"/>
      <c r="B303" s="151"/>
      <c r="C303" s="151"/>
      <c r="D303" s="148"/>
      <c r="E303" s="148"/>
      <c r="F303" s="148"/>
      <c r="G303" s="148"/>
      <c r="H303" s="152"/>
      <c r="I303" s="153"/>
      <c r="J303" s="154"/>
      <c r="K303" s="153"/>
    </row>
    <row r="304" spans="1:11" ht="15.75" customHeight="1" x14ac:dyDescent="0.25">
      <c r="A304" s="148"/>
      <c r="B304" s="151"/>
      <c r="C304" s="151"/>
      <c r="D304" s="148"/>
      <c r="E304" s="148"/>
      <c r="F304" s="148"/>
      <c r="G304" s="148"/>
      <c r="H304" s="152"/>
      <c r="I304" s="153"/>
      <c r="J304" s="154"/>
      <c r="K304" s="153"/>
    </row>
    <row r="305" spans="1:11" ht="15.75" customHeight="1" x14ac:dyDescent="0.25">
      <c r="A305" s="148"/>
      <c r="B305" s="151"/>
      <c r="C305" s="151"/>
      <c r="D305" s="148"/>
      <c r="E305" s="148"/>
      <c r="F305" s="148"/>
      <c r="G305" s="148"/>
      <c r="H305" s="152"/>
      <c r="I305" s="153"/>
      <c r="J305" s="154"/>
      <c r="K305" s="153"/>
    </row>
    <row r="306" spans="1:11" ht="15.75" customHeight="1" x14ac:dyDescent="0.25">
      <c r="A306" s="148"/>
      <c r="B306" s="151"/>
      <c r="C306" s="151"/>
      <c r="D306" s="148"/>
      <c r="E306" s="148"/>
      <c r="F306" s="148"/>
      <c r="G306" s="148"/>
      <c r="H306" s="152"/>
      <c r="I306" s="153"/>
      <c r="J306" s="154"/>
      <c r="K306" s="153"/>
    </row>
    <row r="307" spans="1:11" ht="15.75" customHeight="1" x14ac:dyDescent="0.25">
      <c r="A307" s="148"/>
      <c r="B307" s="151"/>
      <c r="C307" s="151"/>
      <c r="D307" s="148"/>
      <c r="E307" s="148"/>
      <c r="F307" s="148"/>
      <c r="G307" s="148"/>
      <c r="H307" s="152"/>
      <c r="I307" s="153"/>
      <c r="J307" s="154"/>
      <c r="K307" s="153"/>
    </row>
    <row r="308" spans="1:11" ht="15.75" customHeight="1" x14ac:dyDescent="0.25">
      <c r="A308" s="148"/>
      <c r="B308" s="151"/>
      <c r="C308" s="151"/>
      <c r="D308" s="148"/>
      <c r="E308" s="148"/>
      <c r="F308" s="148"/>
      <c r="G308" s="148"/>
      <c r="H308" s="152"/>
      <c r="I308" s="153"/>
      <c r="J308" s="154"/>
      <c r="K308" s="153"/>
    </row>
    <row r="309" spans="1:11" ht="15.75" customHeight="1" x14ac:dyDescent="0.25">
      <c r="A309" s="148"/>
      <c r="B309" s="151"/>
      <c r="C309" s="151"/>
      <c r="D309" s="148"/>
      <c r="E309" s="148"/>
      <c r="F309" s="148"/>
      <c r="G309" s="148"/>
      <c r="H309" s="152"/>
      <c r="I309" s="153"/>
      <c r="J309" s="154"/>
      <c r="K309" s="153"/>
    </row>
    <row r="310" spans="1:11" ht="15.75" customHeight="1" x14ac:dyDescent="0.25">
      <c r="A310" s="148"/>
      <c r="B310" s="151"/>
      <c r="C310" s="151"/>
      <c r="D310" s="148"/>
      <c r="E310" s="148"/>
      <c r="F310" s="148"/>
      <c r="G310" s="148"/>
      <c r="H310" s="152"/>
      <c r="I310" s="153"/>
      <c r="J310" s="154"/>
      <c r="K310" s="153"/>
    </row>
    <row r="311" spans="1:11" ht="15.75" customHeight="1" x14ac:dyDescent="0.25">
      <c r="A311" s="148"/>
      <c r="B311" s="151"/>
      <c r="C311" s="151"/>
      <c r="D311" s="148"/>
      <c r="E311" s="148"/>
      <c r="F311" s="148"/>
      <c r="G311" s="148"/>
      <c r="H311" s="152"/>
      <c r="I311" s="153"/>
      <c r="J311" s="154"/>
      <c r="K311" s="153"/>
    </row>
    <row r="312" spans="1:11" ht="15.75" customHeight="1" x14ac:dyDescent="0.25">
      <c r="A312" s="148"/>
      <c r="B312" s="151"/>
      <c r="C312" s="151"/>
      <c r="D312" s="148"/>
      <c r="E312" s="148"/>
      <c r="F312" s="148"/>
      <c r="G312" s="148"/>
      <c r="H312" s="152"/>
      <c r="I312" s="153"/>
      <c r="J312" s="154"/>
      <c r="K312" s="153"/>
    </row>
    <row r="313" spans="1:11" ht="15.75" customHeight="1" x14ac:dyDescent="0.25">
      <c r="A313" s="148"/>
      <c r="B313" s="151"/>
      <c r="C313" s="151"/>
      <c r="D313" s="148"/>
      <c r="E313" s="148"/>
      <c r="F313" s="148"/>
      <c r="G313" s="148"/>
      <c r="H313" s="152"/>
      <c r="I313" s="153"/>
      <c r="J313" s="154"/>
      <c r="K313" s="153"/>
    </row>
    <row r="314" spans="1:11" ht="15.75" customHeight="1" x14ac:dyDescent="0.25">
      <c r="A314" s="148"/>
      <c r="B314" s="151"/>
      <c r="C314" s="151"/>
      <c r="D314" s="148"/>
      <c r="E314" s="148"/>
      <c r="F314" s="148"/>
      <c r="G314" s="148"/>
      <c r="H314" s="152"/>
      <c r="I314" s="153"/>
      <c r="J314" s="154"/>
      <c r="K314" s="153"/>
    </row>
    <row r="315" spans="1:11" ht="15.75" customHeight="1" x14ac:dyDescent="0.25">
      <c r="A315" s="148"/>
      <c r="B315" s="151"/>
      <c r="C315" s="151"/>
      <c r="D315" s="148"/>
      <c r="E315" s="148"/>
      <c r="F315" s="148"/>
      <c r="G315" s="148"/>
      <c r="H315" s="152"/>
      <c r="I315" s="153"/>
      <c r="J315" s="154"/>
      <c r="K315" s="153"/>
    </row>
    <row r="316" spans="1:11" ht="15.75" customHeight="1" x14ac:dyDescent="0.25">
      <c r="A316" s="148"/>
      <c r="B316" s="151"/>
      <c r="C316" s="151"/>
      <c r="D316" s="148"/>
      <c r="E316" s="148"/>
      <c r="F316" s="148"/>
      <c r="G316" s="148"/>
      <c r="H316" s="152"/>
      <c r="I316" s="153"/>
      <c r="J316" s="154"/>
      <c r="K316" s="153"/>
    </row>
    <row r="317" spans="1:11" ht="15.75" customHeight="1" x14ac:dyDescent="0.25">
      <c r="A317" s="148"/>
      <c r="B317" s="151"/>
      <c r="C317" s="151"/>
      <c r="D317" s="148"/>
      <c r="E317" s="148"/>
      <c r="F317" s="148"/>
      <c r="G317" s="148"/>
      <c r="H317" s="152"/>
      <c r="I317" s="153"/>
      <c r="J317" s="154"/>
      <c r="K317" s="153"/>
    </row>
    <row r="318" spans="1:11" ht="15.75" customHeight="1" x14ac:dyDescent="0.25">
      <c r="A318" s="148"/>
      <c r="B318" s="151"/>
      <c r="C318" s="151"/>
      <c r="D318" s="148"/>
      <c r="E318" s="148"/>
      <c r="F318" s="148"/>
      <c r="G318" s="148"/>
      <c r="H318" s="152"/>
      <c r="I318" s="153"/>
      <c r="J318" s="154"/>
      <c r="K318" s="153"/>
    </row>
    <row r="319" spans="1:11" ht="15.75" customHeight="1" x14ac:dyDescent="0.25">
      <c r="A319" s="148"/>
      <c r="B319" s="151"/>
      <c r="C319" s="151"/>
      <c r="D319" s="148"/>
      <c r="E319" s="148"/>
      <c r="F319" s="148"/>
      <c r="G319" s="148"/>
      <c r="H319" s="152"/>
      <c r="I319" s="153"/>
      <c r="J319" s="154"/>
      <c r="K319" s="153"/>
    </row>
    <row r="320" spans="1:11" ht="15.75" customHeight="1" x14ac:dyDescent="0.25">
      <c r="A320" s="148"/>
      <c r="B320" s="151"/>
      <c r="C320" s="151"/>
      <c r="D320" s="148"/>
      <c r="E320" s="148"/>
      <c r="F320" s="148"/>
      <c r="G320" s="148"/>
      <c r="H320" s="152"/>
      <c r="I320" s="153"/>
      <c r="J320" s="154"/>
      <c r="K320" s="153"/>
    </row>
    <row r="321" spans="1:11" ht="15.75" customHeight="1" x14ac:dyDescent="0.25">
      <c r="A321" s="148"/>
      <c r="B321" s="151"/>
      <c r="C321" s="151"/>
      <c r="D321" s="148"/>
      <c r="E321" s="148"/>
      <c r="F321" s="148"/>
      <c r="G321" s="148"/>
      <c r="H321" s="152"/>
      <c r="I321" s="153"/>
      <c r="J321" s="154"/>
      <c r="K321" s="153"/>
    </row>
    <row r="322" spans="1:11" ht="15.75" customHeight="1" x14ac:dyDescent="0.25">
      <c r="A322" s="148"/>
      <c r="B322" s="151"/>
      <c r="C322" s="151"/>
      <c r="D322" s="148"/>
      <c r="E322" s="148"/>
      <c r="F322" s="148"/>
      <c r="G322" s="148"/>
      <c r="H322" s="152"/>
      <c r="I322" s="153"/>
      <c r="J322" s="154"/>
      <c r="K322" s="153"/>
    </row>
    <row r="323" spans="1:11" ht="15.75" customHeight="1" x14ac:dyDescent="0.25">
      <c r="A323" s="148"/>
      <c r="B323" s="151"/>
      <c r="C323" s="151"/>
      <c r="D323" s="148"/>
      <c r="E323" s="148"/>
      <c r="F323" s="148"/>
      <c r="G323" s="148"/>
      <c r="H323" s="152"/>
      <c r="I323" s="153"/>
      <c r="J323" s="154"/>
      <c r="K323" s="153"/>
    </row>
    <row r="324" spans="1:11" ht="15.75" customHeight="1" x14ac:dyDescent="0.25">
      <c r="A324" s="148"/>
      <c r="B324" s="151"/>
      <c r="C324" s="151"/>
      <c r="D324" s="148"/>
      <c r="E324" s="148"/>
      <c r="F324" s="148"/>
      <c r="G324" s="148"/>
      <c r="H324" s="152"/>
      <c r="I324" s="153"/>
      <c r="J324" s="154"/>
      <c r="K324" s="153"/>
    </row>
    <row r="325" spans="1:11" ht="15.75" customHeight="1" x14ac:dyDescent="0.25">
      <c r="A325" s="148"/>
      <c r="B325" s="151"/>
      <c r="C325" s="151"/>
      <c r="D325" s="148"/>
      <c r="E325" s="148"/>
      <c r="F325" s="148"/>
      <c r="G325" s="148"/>
      <c r="H325" s="152"/>
      <c r="I325" s="153"/>
      <c r="J325" s="154"/>
      <c r="K325" s="153"/>
    </row>
    <row r="326" spans="1:11" ht="15.75" customHeight="1" x14ac:dyDescent="0.25">
      <c r="A326" s="148"/>
      <c r="B326" s="151"/>
      <c r="C326" s="151"/>
      <c r="D326" s="148"/>
      <c r="E326" s="148"/>
      <c r="F326" s="148"/>
      <c r="G326" s="148"/>
      <c r="H326" s="152"/>
      <c r="I326" s="153"/>
      <c r="J326" s="154"/>
      <c r="K326" s="153"/>
    </row>
    <row r="327" spans="1:11" ht="15.75" customHeight="1" x14ac:dyDescent="0.25">
      <c r="A327" s="148"/>
      <c r="B327" s="151"/>
      <c r="C327" s="151"/>
      <c r="D327" s="148"/>
      <c r="E327" s="148"/>
      <c r="F327" s="148"/>
      <c r="G327" s="148"/>
      <c r="H327" s="152"/>
      <c r="I327" s="153"/>
      <c r="J327" s="154"/>
      <c r="K327" s="153"/>
    </row>
    <row r="328" spans="1:11" ht="15.75" customHeight="1" x14ac:dyDescent="0.25">
      <c r="A328" s="148"/>
      <c r="B328" s="151"/>
      <c r="C328" s="151"/>
      <c r="D328" s="148"/>
      <c r="E328" s="148"/>
      <c r="F328" s="148"/>
      <c r="G328" s="148"/>
      <c r="H328" s="152"/>
      <c r="I328" s="153"/>
      <c r="J328" s="154"/>
      <c r="K328" s="153"/>
    </row>
    <row r="329" spans="1:11" ht="15.75" customHeight="1" x14ac:dyDescent="0.25">
      <c r="A329" s="148"/>
      <c r="B329" s="151"/>
      <c r="C329" s="151"/>
      <c r="D329" s="148"/>
      <c r="E329" s="148"/>
      <c r="F329" s="148"/>
      <c r="G329" s="148"/>
      <c r="H329" s="152"/>
      <c r="I329" s="153"/>
      <c r="J329" s="154"/>
      <c r="K329" s="153"/>
    </row>
    <row r="330" spans="1:11" ht="15.75" customHeight="1" x14ac:dyDescent="0.25">
      <c r="A330" s="148"/>
      <c r="B330" s="151"/>
      <c r="C330" s="151"/>
      <c r="D330" s="148"/>
      <c r="E330" s="148"/>
      <c r="F330" s="148"/>
      <c r="G330" s="148"/>
      <c r="H330" s="152"/>
      <c r="I330" s="153"/>
      <c r="J330" s="154"/>
      <c r="K330" s="153"/>
    </row>
    <row r="331" spans="1:11" ht="15.75" customHeight="1" x14ac:dyDescent="0.25">
      <c r="A331" s="148"/>
      <c r="B331" s="151"/>
      <c r="C331" s="151"/>
      <c r="D331" s="148"/>
      <c r="E331" s="148"/>
      <c r="F331" s="148"/>
      <c r="G331" s="148"/>
      <c r="H331" s="152"/>
      <c r="I331" s="153"/>
      <c r="J331" s="154"/>
      <c r="K331" s="153"/>
    </row>
    <row r="332" spans="1:11" ht="15.75" customHeight="1" x14ac:dyDescent="0.25">
      <c r="A332" s="148"/>
      <c r="B332" s="151"/>
      <c r="C332" s="151"/>
      <c r="D332" s="148"/>
      <c r="E332" s="148"/>
      <c r="F332" s="148"/>
      <c r="G332" s="148"/>
      <c r="H332" s="152"/>
      <c r="I332" s="153"/>
      <c r="J332" s="154"/>
      <c r="K332" s="153"/>
    </row>
    <row r="333" spans="1:11" ht="15.75" customHeight="1" x14ac:dyDescent="0.25">
      <c r="A333" s="148"/>
      <c r="B333" s="151"/>
      <c r="C333" s="151"/>
      <c r="D333" s="148"/>
      <c r="E333" s="148"/>
      <c r="F333" s="148"/>
      <c r="G333" s="148"/>
      <c r="H333" s="152"/>
      <c r="I333" s="153"/>
      <c r="J333" s="154"/>
      <c r="K333" s="153"/>
    </row>
    <row r="334" spans="1:11" ht="15.75" customHeight="1" x14ac:dyDescent="0.25">
      <c r="A334" s="148"/>
      <c r="B334" s="151"/>
      <c r="C334" s="151"/>
      <c r="D334" s="148"/>
      <c r="E334" s="148"/>
      <c r="F334" s="148"/>
      <c r="G334" s="148"/>
      <c r="H334" s="152"/>
      <c r="I334" s="153"/>
      <c r="J334" s="154"/>
      <c r="K334" s="153"/>
    </row>
    <row r="335" spans="1:11" ht="15.75" customHeight="1" x14ac:dyDescent="0.25">
      <c r="A335" s="148"/>
      <c r="B335" s="151"/>
      <c r="C335" s="151"/>
      <c r="D335" s="148"/>
      <c r="E335" s="148"/>
      <c r="F335" s="148"/>
      <c r="G335" s="148"/>
      <c r="H335" s="152"/>
      <c r="I335" s="153"/>
      <c r="J335" s="154"/>
      <c r="K335" s="153"/>
    </row>
    <row r="336" spans="1:11" ht="15.75" customHeight="1" x14ac:dyDescent="0.25">
      <c r="A336" s="148"/>
      <c r="B336" s="151"/>
      <c r="C336" s="151"/>
      <c r="D336" s="148"/>
      <c r="E336" s="148"/>
      <c r="F336" s="148"/>
      <c r="G336" s="148"/>
      <c r="H336" s="152"/>
      <c r="I336" s="153"/>
      <c r="J336" s="154"/>
      <c r="K336" s="153"/>
    </row>
    <row r="337" spans="1:11" ht="15.75" customHeight="1" x14ac:dyDescent="0.25">
      <c r="A337" s="148"/>
      <c r="B337" s="151"/>
      <c r="C337" s="151"/>
      <c r="D337" s="148"/>
      <c r="E337" s="148"/>
      <c r="F337" s="148"/>
      <c r="G337" s="148"/>
      <c r="H337" s="152"/>
      <c r="I337" s="153"/>
      <c r="J337" s="154"/>
      <c r="K337" s="153"/>
    </row>
    <row r="338" spans="1:11" ht="15.75" customHeight="1" x14ac:dyDescent="0.25">
      <c r="A338" s="148"/>
      <c r="B338" s="151"/>
      <c r="C338" s="151"/>
      <c r="D338" s="148"/>
      <c r="E338" s="148"/>
      <c r="F338" s="148"/>
      <c r="G338" s="148"/>
      <c r="H338" s="152"/>
      <c r="I338" s="153"/>
      <c r="J338" s="154"/>
      <c r="K338" s="153"/>
    </row>
    <row r="339" spans="1:11" ht="15.75" customHeight="1" x14ac:dyDescent="0.25">
      <c r="A339" s="148"/>
      <c r="B339" s="151"/>
      <c r="C339" s="151"/>
      <c r="D339" s="148"/>
      <c r="E339" s="148"/>
      <c r="F339" s="148"/>
      <c r="G339" s="148"/>
      <c r="H339" s="152"/>
      <c r="I339" s="153"/>
      <c r="J339" s="154"/>
      <c r="K339" s="153"/>
    </row>
    <row r="340" spans="1:11" ht="15.75" customHeight="1" x14ac:dyDescent="0.25">
      <c r="A340" s="148"/>
      <c r="B340" s="151"/>
      <c r="C340" s="151"/>
      <c r="D340" s="148"/>
      <c r="E340" s="148"/>
      <c r="F340" s="148"/>
      <c r="G340" s="148"/>
      <c r="H340" s="152"/>
      <c r="I340" s="153"/>
      <c r="J340" s="154"/>
      <c r="K340" s="153"/>
    </row>
    <row r="341" spans="1:11" ht="15.75" customHeight="1" x14ac:dyDescent="0.25">
      <c r="A341" s="148"/>
      <c r="B341" s="151"/>
      <c r="C341" s="151"/>
      <c r="D341" s="148"/>
      <c r="E341" s="148"/>
      <c r="F341" s="148"/>
      <c r="G341" s="148"/>
      <c r="H341" s="152"/>
      <c r="I341" s="153"/>
      <c r="J341" s="154"/>
      <c r="K341" s="153"/>
    </row>
    <row r="342" spans="1:11" ht="15.75" customHeight="1" x14ac:dyDescent="0.25">
      <c r="A342" s="148"/>
      <c r="B342" s="151"/>
      <c r="C342" s="151"/>
      <c r="D342" s="148"/>
      <c r="E342" s="148"/>
      <c r="F342" s="148"/>
      <c r="G342" s="148"/>
      <c r="H342" s="152"/>
      <c r="I342" s="153"/>
      <c r="J342" s="154"/>
      <c r="K342" s="153"/>
    </row>
    <row r="343" spans="1:11" ht="15.75" customHeight="1" x14ac:dyDescent="0.25">
      <c r="A343" s="148"/>
      <c r="B343" s="151"/>
      <c r="C343" s="151"/>
      <c r="D343" s="148"/>
      <c r="E343" s="148"/>
      <c r="F343" s="148"/>
      <c r="G343" s="148"/>
      <c r="H343" s="152"/>
      <c r="I343" s="153"/>
      <c r="J343" s="154"/>
      <c r="K343" s="153"/>
    </row>
    <row r="344" spans="1:11" ht="15.75" customHeight="1" x14ac:dyDescent="0.25">
      <c r="A344" s="148"/>
      <c r="B344" s="151"/>
      <c r="C344" s="151"/>
      <c r="D344" s="148"/>
      <c r="E344" s="148"/>
      <c r="F344" s="148"/>
      <c r="G344" s="148"/>
      <c r="H344" s="152"/>
      <c r="I344" s="153"/>
      <c r="J344" s="154"/>
      <c r="K344" s="153"/>
    </row>
    <row r="345" spans="1:11" ht="15.75" customHeight="1" x14ac:dyDescent="0.25">
      <c r="A345" s="148"/>
      <c r="B345" s="151"/>
      <c r="C345" s="151"/>
      <c r="D345" s="148"/>
      <c r="E345" s="148"/>
      <c r="F345" s="148"/>
      <c r="G345" s="148"/>
      <c r="H345" s="152"/>
      <c r="I345" s="153"/>
      <c r="J345" s="154"/>
      <c r="K345" s="153"/>
    </row>
    <row r="346" spans="1:11" ht="15.75" customHeight="1" x14ac:dyDescent="0.25">
      <c r="A346" s="148"/>
      <c r="B346" s="151"/>
      <c r="C346" s="151"/>
      <c r="D346" s="148"/>
      <c r="E346" s="148"/>
      <c r="F346" s="148"/>
      <c r="G346" s="148"/>
      <c r="H346" s="152"/>
      <c r="I346" s="153"/>
      <c r="J346" s="154"/>
      <c r="K346" s="153"/>
    </row>
    <row r="347" spans="1:11" ht="15.75" customHeight="1" x14ac:dyDescent="0.25">
      <c r="A347" s="148"/>
      <c r="B347" s="151"/>
      <c r="C347" s="151"/>
      <c r="D347" s="148"/>
      <c r="E347" s="148"/>
      <c r="F347" s="148"/>
      <c r="G347" s="148"/>
      <c r="H347" s="152"/>
      <c r="I347" s="153"/>
      <c r="J347" s="154"/>
      <c r="K347" s="153"/>
    </row>
    <row r="348" spans="1:11" ht="15.75" customHeight="1" x14ac:dyDescent="0.25">
      <c r="A348" s="148"/>
      <c r="B348" s="151"/>
      <c r="C348" s="151"/>
      <c r="D348" s="148"/>
      <c r="E348" s="148"/>
      <c r="F348" s="148"/>
      <c r="G348" s="148"/>
      <c r="H348" s="152"/>
      <c r="I348" s="153"/>
      <c r="J348" s="154"/>
      <c r="K348" s="153"/>
    </row>
    <row r="349" spans="1:11" ht="15.75" customHeight="1" x14ac:dyDescent="0.25">
      <c r="A349" s="148"/>
      <c r="B349" s="151"/>
      <c r="C349" s="151"/>
      <c r="D349" s="148"/>
      <c r="E349" s="148"/>
      <c r="F349" s="148"/>
      <c r="G349" s="148"/>
      <c r="H349" s="152"/>
      <c r="I349" s="153"/>
      <c r="J349" s="154"/>
      <c r="K349" s="153"/>
    </row>
    <row r="350" spans="1:11" ht="15.75" customHeight="1" x14ac:dyDescent="0.25">
      <c r="A350" s="148"/>
      <c r="B350" s="151"/>
      <c r="C350" s="151"/>
      <c r="D350" s="148"/>
      <c r="E350" s="148"/>
      <c r="F350" s="148"/>
      <c r="G350" s="148"/>
      <c r="H350" s="152"/>
      <c r="I350" s="153"/>
      <c r="J350" s="154"/>
      <c r="K350" s="153"/>
    </row>
    <row r="351" spans="1:11" ht="15.75" customHeight="1" x14ac:dyDescent="0.25">
      <c r="A351" s="148"/>
      <c r="B351" s="151"/>
      <c r="C351" s="151"/>
      <c r="D351" s="148"/>
      <c r="E351" s="148"/>
      <c r="F351" s="148"/>
      <c r="G351" s="148"/>
      <c r="H351" s="152"/>
      <c r="I351" s="153"/>
      <c r="J351" s="154"/>
      <c r="K351" s="153"/>
    </row>
    <row r="352" spans="1:11" ht="15.75" customHeight="1" x14ac:dyDescent="0.25">
      <c r="A352" s="148"/>
      <c r="B352" s="151"/>
      <c r="C352" s="151"/>
      <c r="D352" s="148"/>
      <c r="E352" s="148"/>
      <c r="F352" s="148"/>
      <c r="G352" s="148"/>
      <c r="H352" s="152"/>
      <c r="I352" s="153"/>
      <c r="J352" s="154"/>
      <c r="K352" s="153"/>
    </row>
    <row r="353" spans="1:11" ht="15.75" customHeight="1" x14ac:dyDescent="0.25">
      <c r="A353" s="148"/>
      <c r="B353" s="151"/>
      <c r="C353" s="151"/>
      <c r="D353" s="148"/>
      <c r="E353" s="148"/>
      <c r="F353" s="148"/>
      <c r="G353" s="148"/>
      <c r="H353" s="152"/>
      <c r="I353" s="153"/>
      <c r="J353" s="154"/>
      <c r="K353" s="153"/>
    </row>
    <row r="354" spans="1:11" ht="15.75" customHeight="1" x14ac:dyDescent="0.25">
      <c r="A354" s="148"/>
      <c r="B354" s="151"/>
      <c r="C354" s="151"/>
      <c r="D354" s="148"/>
      <c r="E354" s="148"/>
      <c r="F354" s="148"/>
      <c r="G354" s="148"/>
      <c r="H354" s="152"/>
      <c r="I354" s="153"/>
      <c r="J354" s="154"/>
      <c r="K354" s="153"/>
    </row>
    <row r="355" spans="1:11" ht="15.75" customHeight="1" x14ac:dyDescent="0.25">
      <c r="A355" s="148"/>
      <c r="B355" s="151"/>
      <c r="C355" s="151"/>
      <c r="D355" s="148"/>
      <c r="E355" s="148"/>
      <c r="F355" s="148"/>
      <c r="G355" s="148"/>
      <c r="H355" s="152"/>
      <c r="I355" s="153"/>
      <c r="J355" s="154"/>
      <c r="K355" s="153"/>
    </row>
    <row r="356" spans="1:11" ht="15.75" customHeight="1" x14ac:dyDescent="0.25">
      <c r="A356" s="148"/>
      <c r="B356" s="151"/>
      <c r="C356" s="151"/>
      <c r="D356" s="148"/>
      <c r="E356" s="148"/>
      <c r="F356" s="148"/>
      <c r="G356" s="148"/>
      <c r="H356" s="152"/>
      <c r="I356" s="153"/>
      <c r="J356" s="154"/>
      <c r="K356" s="153"/>
    </row>
    <row r="357" spans="1:11" ht="15.75" customHeight="1" x14ac:dyDescent="0.25">
      <c r="A357" s="148"/>
      <c r="B357" s="151"/>
      <c r="C357" s="151"/>
      <c r="D357" s="148"/>
      <c r="E357" s="148"/>
      <c r="F357" s="148"/>
      <c r="G357" s="148"/>
      <c r="H357" s="152"/>
      <c r="I357" s="153"/>
      <c r="J357" s="154"/>
      <c r="K357" s="153"/>
    </row>
    <row r="358" spans="1:11" ht="15.75" customHeight="1" x14ac:dyDescent="0.25">
      <c r="A358" s="148"/>
      <c r="B358" s="151"/>
      <c r="C358" s="151"/>
      <c r="D358" s="148"/>
      <c r="E358" s="148"/>
      <c r="F358" s="148"/>
      <c r="G358" s="148"/>
      <c r="H358" s="152"/>
      <c r="I358" s="153"/>
      <c r="J358" s="154"/>
      <c r="K358" s="153"/>
    </row>
    <row r="359" spans="1:11" ht="15.75" customHeight="1" x14ac:dyDescent="0.25">
      <c r="A359" s="148"/>
      <c r="B359" s="151"/>
      <c r="C359" s="151"/>
      <c r="D359" s="148"/>
      <c r="E359" s="148"/>
      <c r="F359" s="148"/>
      <c r="G359" s="148"/>
      <c r="H359" s="152"/>
      <c r="I359" s="153"/>
      <c r="J359" s="154"/>
      <c r="K359" s="153"/>
    </row>
    <row r="360" spans="1:11" ht="15.75" customHeight="1" x14ac:dyDescent="0.25">
      <c r="A360" s="148"/>
      <c r="B360" s="151"/>
      <c r="C360" s="151"/>
      <c r="D360" s="148"/>
      <c r="E360" s="148"/>
      <c r="F360" s="148"/>
      <c r="G360" s="148"/>
      <c r="H360" s="152"/>
      <c r="I360" s="153"/>
      <c r="J360" s="154"/>
      <c r="K360" s="153"/>
    </row>
    <row r="361" spans="1:11" ht="15.75" customHeight="1" x14ac:dyDescent="0.25">
      <c r="A361" s="148"/>
      <c r="B361" s="151"/>
      <c r="C361" s="151"/>
      <c r="D361" s="148"/>
      <c r="E361" s="148"/>
      <c r="F361" s="148"/>
      <c r="G361" s="148"/>
      <c r="H361" s="152"/>
      <c r="I361" s="153"/>
      <c r="J361" s="154"/>
      <c r="K361" s="153"/>
    </row>
    <row r="362" spans="1:11" ht="15.75" customHeight="1" x14ac:dyDescent="0.25">
      <c r="A362" s="148"/>
      <c r="B362" s="151"/>
      <c r="C362" s="151"/>
      <c r="D362" s="148"/>
      <c r="E362" s="148"/>
      <c r="F362" s="148"/>
      <c r="G362" s="148"/>
      <c r="H362" s="152"/>
      <c r="I362" s="153"/>
      <c r="J362" s="154"/>
      <c r="K362" s="153"/>
    </row>
    <row r="363" spans="1:11" ht="15.75" customHeight="1" x14ac:dyDescent="0.25">
      <c r="A363" s="148"/>
      <c r="B363" s="151"/>
      <c r="C363" s="151"/>
      <c r="D363" s="148"/>
      <c r="E363" s="148"/>
      <c r="F363" s="148"/>
      <c r="G363" s="148"/>
      <c r="H363" s="152"/>
      <c r="I363" s="153"/>
      <c r="J363" s="154"/>
      <c r="K363" s="153"/>
    </row>
    <row r="364" spans="1:11" ht="15.75" customHeight="1" x14ac:dyDescent="0.25">
      <c r="A364" s="148"/>
      <c r="B364" s="151"/>
      <c r="C364" s="151"/>
      <c r="D364" s="148"/>
      <c r="E364" s="148"/>
      <c r="F364" s="148"/>
      <c r="G364" s="148"/>
      <c r="H364" s="152"/>
      <c r="I364" s="153"/>
      <c r="J364" s="154"/>
      <c r="K364" s="153"/>
    </row>
    <row r="365" spans="1:11" ht="15.75" customHeight="1" x14ac:dyDescent="0.25">
      <c r="A365" s="148"/>
      <c r="B365" s="151"/>
      <c r="C365" s="151"/>
      <c r="D365" s="148"/>
      <c r="E365" s="148"/>
      <c r="F365" s="148"/>
      <c r="G365" s="148"/>
      <c r="H365" s="152"/>
      <c r="I365" s="153"/>
      <c r="J365" s="154"/>
      <c r="K365" s="153"/>
    </row>
    <row r="366" spans="1:11" ht="15.75" customHeight="1" x14ac:dyDescent="0.25">
      <c r="A366" s="148"/>
      <c r="B366" s="151"/>
      <c r="C366" s="151"/>
      <c r="D366" s="148"/>
      <c r="E366" s="148"/>
      <c r="F366" s="148"/>
      <c r="G366" s="148"/>
      <c r="H366" s="152"/>
      <c r="I366" s="153"/>
      <c r="J366" s="154"/>
      <c r="K366" s="153"/>
    </row>
    <row r="367" spans="1:11" ht="15.75" customHeight="1" x14ac:dyDescent="0.25">
      <c r="A367" s="148"/>
      <c r="B367" s="151"/>
      <c r="C367" s="151"/>
      <c r="D367" s="148"/>
      <c r="E367" s="148"/>
      <c r="F367" s="148"/>
      <c r="G367" s="148"/>
      <c r="H367" s="152"/>
      <c r="I367" s="153"/>
      <c r="J367" s="154"/>
      <c r="K367" s="153"/>
    </row>
    <row r="368" spans="1:11" ht="15.75" customHeight="1" x14ac:dyDescent="0.25">
      <c r="A368" s="148"/>
      <c r="B368" s="151"/>
      <c r="C368" s="151"/>
      <c r="D368" s="148"/>
      <c r="E368" s="148"/>
      <c r="F368" s="148"/>
      <c r="G368" s="148"/>
      <c r="H368" s="152"/>
      <c r="I368" s="153"/>
      <c r="J368" s="154"/>
      <c r="K368" s="153"/>
    </row>
    <row r="369" spans="1:11" ht="15.75" customHeight="1" x14ac:dyDescent="0.25">
      <c r="A369" s="148"/>
      <c r="B369" s="151"/>
      <c r="C369" s="151"/>
      <c r="D369" s="148"/>
      <c r="E369" s="148"/>
      <c r="F369" s="148"/>
      <c r="G369" s="148"/>
      <c r="H369" s="152"/>
      <c r="I369" s="153"/>
      <c r="J369" s="154"/>
      <c r="K369" s="153"/>
    </row>
    <row r="370" spans="1:11" ht="15.75" customHeight="1" x14ac:dyDescent="0.25">
      <c r="A370" s="148"/>
      <c r="B370" s="151"/>
      <c r="C370" s="151"/>
      <c r="D370" s="148"/>
      <c r="E370" s="148"/>
      <c r="F370" s="148"/>
      <c r="G370" s="148"/>
      <c r="H370" s="152"/>
      <c r="I370" s="153"/>
      <c r="J370" s="154"/>
      <c r="K370" s="153"/>
    </row>
    <row r="371" spans="1:11" ht="15.75" customHeight="1" x14ac:dyDescent="0.25">
      <c r="A371" s="148"/>
      <c r="B371" s="151"/>
      <c r="C371" s="151"/>
      <c r="D371" s="148"/>
      <c r="E371" s="148"/>
      <c r="F371" s="148"/>
      <c r="G371" s="148"/>
      <c r="H371" s="152"/>
      <c r="I371" s="153"/>
      <c r="J371" s="154"/>
      <c r="K371" s="153"/>
    </row>
    <row r="372" spans="1:11" ht="15.75" customHeight="1" x14ac:dyDescent="0.25">
      <c r="A372" s="148"/>
      <c r="B372" s="151"/>
      <c r="C372" s="151"/>
      <c r="D372" s="148"/>
      <c r="E372" s="148"/>
      <c r="F372" s="148"/>
      <c r="G372" s="148"/>
      <c r="H372" s="152"/>
      <c r="I372" s="153"/>
      <c r="J372" s="154"/>
      <c r="K372" s="153"/>
    </row>
    <row r="373" spans="1:11" ht="15.75" customHeight="1" x14ac:dyDescent="0.25">
      <c r="A373" s="148"/>
      <c r="B373" s="151"/>
      <c r="C373" s="151"/>
      <c r="D373" s="148"/>
      <c r="E373" s="148"/>
      <c r="F373" s="148"/>
      <c r="G373" s="148"/>
      <c r="H373" s="152"/>
      <c r="I373" s="153"/>
      <c r="J373" s="154"/>
      <c r="K373" s="153"/>
    </row>
    <row r="374" spans="1:11" ht="15.75" customHeight="1" x14ac:dyDescent="0.25">
      <c r="A374" s="148"/>
      <c r="B374" s="151"/>
      <c r="C374" s="151"/>
      <c r="D374" s="148"/>
      <c r="E374" s="148"/>
      <c r="F374" s="148"/>
      <c r="G374" s="148"/>
      <c r="H374" s="152"/>
      <c r="I374" s="153"/>
      <c r="J374" s="154"/>
      <c r="K374" s="153"/>
    </row>
    <row r="375" spans="1:11" ht="15.75" customHeight="1" x14ac:dyDescent="0.25">
      <c r="A375" s="148"/>
      <c r="B375" s="151"/>
      <c r="C375" s="151"/>
      <c r="D375" s="148"/>
      <c r="E375" s="148"/>
      <c r="F375" s="148"/>
      <c r="G375" s="148"/>
      <c r="H375" s="152"/>
      <c r="I375" s="153"/>
      <c r="J375" s="154"/>
      <c r="K375" s="153"/>
    </row>
    <row r="376" spans="1:11" ht="15.75" customHeight="1" x14ac:dyDescent="0.25">
      <c r="A376" s="148"/>
      <c r="B376" s="151"/>
      <c r="C376" s="151"/>
      <c r="D376" s="148"/>
      <c r="E376" s="148"/>
      <c r="F376" s="148"/>
      <c r="G376" s="148"/>
      <c r="H376" s="152"/>
      <c r="I376" s="153"/>
      <c r="J376" s="154"/>
      <c r="K376" s="153"/>
    </row>
    <row r="377" spans="1:11" ht="15.75" customHeight="1" x14ac:dyDescent="0.25">
      <c r="A377" s="148"/>
      <c r="B377" s="151"/>
      <c r="C377" s="151"/>
      <c r="D377" s="148"/>
      <c r="E377" s="148"/>
      <c r="F377" s="148"/>
      <c r="G377" s="148"/>
      <c r="H377" s="152"/>
      <c r="I377" s="153"/>
      <c r="J377" s="154"/>
      <c r="K377" s="153"/>
    </row>
    <row r="378" spans="1:11" ht="15.75" customHeight="1" x14ac:dyDescent="0.25">
      <c r="A378" s="148"/>
      <c r="B378" s="151"/>
      <c r="C378" s="151"/>
      <c r="D378" s="148"/>
      <c r="E378" s="148"/>
      <c r="F378" s="148"/>
      <c r="G378" s="148"/>
      <c r="H378" s="152"/>
      <c r="I378" s="153"/>
      <c r="J378" s="154"/>
      <c r="K378" s="153"/>
    </row>
    <row r="379" spans="1:11" ht="15.75" customHeight="1" x14ac:dyDescent="0.25">
      <c r="A379" s="148"/>
      <c r="B379" s="151"/>
      <c r="C379" s="151"/>
      <c r="D379" s="148"/>
      <c r="E379" s="148"/>
      <c r="F379" s="148"/>
      <c r="G379" s="148"/>
      <c r="H379" s="152"/>
      <c r="I379" s="153"/>
      <c r="J379" s="154"/>
      <c r="K379" s="153"/>
    </row>
    <row r="380" spans="1:11" ht="15.75" customHeight="1" x14ac:dyDescent="0.25">
      <c r="A380" s="148"/>
      <c r="B380" s="151"/>
      <c r="C380" s="151"/>
      <c r="D380" s="148"/>
      <c r="E380" s="148"/>
      <c r="F380" s="148"/>
      <c r="G380" s="148"/>
      <c r="H380" s="152"/>
      <c r="I380" s="153"/>
      <c r="J380" s="154"/>
      <c r="K380" s="153"/>
    </row>
    <row r="381" spans="1:11" ht="15.75" customHeight="1" x14ac:dyDescent="0.25">
      <c r="A381" s="148"/>
      <c r="B381" s="151"/>
      <c r="C381" s="151"/>
      <c r="D381" s="148"/>
      <c r="E381" s="148"/>
      <c r="F381" s="148"/>
      <c r="G381" s="148"/>
      <c r="H381" s="152"/>
      <c r="I381" s="153"/>
      <c r="J381" s="154"/>
      <c r="K381" s="153"/>
    </row>
    <row r="382" spans="1:11" ht="15.75" customHeight="1" x14ac:dyDescent="0.25">
      <c r="A382" s="148"/>
      <c r="B382" s="151"/>
      <c r="C382" s="151"/>
      <c r="D382" s="148"/>
      <c r="E382" s="148"/>
      <c r="F382" s="148"/>
      <c r="G382" s="148"/>
      <c r="H382" s="152"/>
      <c r="I382" s="153"/>
      <c r="J382" s="154"/>
      <c r="K382" s="153"/>
    </row>
    <row r="383" spans="1:11" ht="15.75" customHeight="1" x14ac:dyDescent="0.25">
      <c r="A383" s="148"/>
      <c r="B383" s="151"/>
      <c r="C383" s="151"/>
      <c r="D383" s="148"/>
      <c r="E383" s="148"/>
      <c r="F383" s="148"/>
      <c r="G383" s="148"/>
      <c r="H383" s="152"/>
      <c r="I383" s="153"/>
      <c r="J383" s="154"/>
      <c r="K383" s="153"/>
    </row>
    <row r="384" spans="1:11" ht="15.75" customHeight="1" x14ac:dyDescent="0.25">
      <c r="A384" s="148"/>
      <c r="B384" s="151"/>
      <c r="C384" s="151"/>
      <c r="D384" s="148"/>
      <c r="E384" s="148"/>
      <c r="F384" s="148"/>
      <c r="G384" s="148"/>
      <c r="H384" s="152"/>
      <c r="I384" s="153"/>
      <c r="J384" s="154"/>
      <c r="K384" s="153"/>
    </row>
    <row r="385" spans="1:11" ht="15.75" customHeight="1" x14ac:dyDescent="0.25">
      <c r="A385" s="148"/>
      <c r="B385" s="151"/>
      <c r="C385" s="151"/>
      <c r="D385" s="148"/>
      <c r="E385" s="148"/>
      <c r="F385" s="148"/>
      <c r="G385" s="148"/>
      <c r="H385" s="152"/>
      <c r="I385" s="153"/>
      <c r="J385" s="154"/>
      <c r="K385" s="153"/>
    </row>
    <row r="386" spans="1:11" ht="15.75" customHeight="1" x14ac:dyDescent="0.25">
      <c r="A386" s="148"/>
      <c r="B386" s="151"/>
      <c r="C386" s="151"/>
      <c r="D386" s="148"/>
      <c r="E386" s="148"/>
      <c r="F386" s="148"/>
      <c r="G386" s="148"/>
      <c r="H386" s="152"/>
      <c r="I386" s="153"/>
      <c r="J386" s="154"/>
      <c r="K386" s="153"/>
    </row>
    <row r="387" spans="1:11" ht="15.75" customHeight="1" x14ac:dyDescent="0.25">
      <c r="A387" s="148"/>
      <c r="B387" s="151"/>
      <c r="C387" s="151"/>
      <c r="D387" s="148"/>
      <c r="E387" s="148"/>
      <c r="F387" s="148"/>
      <c r="G387" s="148"/>
      <c r="H387" s="152"/>
      <c r="I387" s="153"/>
      <c r="J387" s="154"/>
      <c r="K387" s="153"/>
    </row>
    <row r="388" spans="1:11" ht="15.75" customHeight="1" x14ac:dyDescent="0.25">
      <c r="A388" s="148"/>
      <c r="B388" s="151"/>
      <c r="C388" s="151"/>
      <c r="D388" s="148"/>
      <c r="E388" s="148"/>
      <c r="F388" s="148"/>
      <c r="G388" s="148"/>
      <c r="H388" s="152"/>
      <c r="I388" s="153"/>
      <c r="J388" s="154"/>
      <c r="K388" s="153"/>
    </row>
    <row r="389" spans="1:11" ht="15.75" customHeight="1" x14ac:dyDescent="0.25">
      <c r="A389" s="148"/>
      <c r="B389" s="151"/>
      <c r="C389" s="151"/>
      <c r="D389" s="148"/>
      <c r="E389" s="148"/>
      <c r="F389" s="148"/>
      <c r="G389" s="148"/>
      <c r="H389" s="152"/>
      <c r="I389" s="153"/>
      <c r="J389" s="154"/>
      <c r="K389" s="153"/>
    </row>
    <row r="390" spans="1:11" ht="15.75" customHeight="1" x14ac:dyDescent="0.25">
      <c r="A390" s="148"/>
      <c r="B390" s="151"/>
      <c r="C390" s="151"/>
      <c r="D390" s="148"/>
      <c r="E390" s="148"/>
      <c r="F390" s="148"/>
      <c r="G390" s="148"/>
      <c r="H390" s="152"/>
      <c r="I390" s="153"/>
      <c r="J390" s="154"/>
      <c r="K390" s="153"/>
    </row>
    <row r="391" spans="1:11" ht="15.75" customHeight="1" x14ac:dyDescent="0.25">
      <c r="A391" s="148"/>
      <c r="B391" s="151"/>
      <c r="C391" s="151"/>
      <c r="D391" s="148"/>
      <c r="E391" s="148"/>
      <c r="F391" s="148"/>
      <c r="G391" s="148"/>
      <c r="H391" s="152"/>
      <c r="I391" s="153"/>
      <c r="J391" s="154"/>
      <c r="K391" s="153"/>
    </row>
    <row r="392" spans="1:11" ht="15.75" customHeight="1" x14ac:dyDescent="0.25">
      <c r="A392" s="148"/>
      <c r="B392" s="151"/>
      <c r="C392" s="151"/>
      <c r="D392" s="148"/>
      <c r="E392" s="148"/>
      <c r="F392" s="148"/>
      <c r="G392" s="148"/>
      <c r="H392" s="152"/>
      <c r="I392" s="153"/>
      <c r="J392" s="154"/>
      <c r="K392" s="153"/>
    </row>
    <row r="393" spans="1:11" ht="15.75" customHeight="1" x14ac:dyDescent="0.25">
      <c r="A393" s="148"/>
      <c r="B393" s="151"/>
      <c r="C393" s="151"/>
      <c r="D393" s="148"/>
      <c r="E393" s="148"/>
      <c r="F393" s="148"/>
      <c r="G393" s="148"/>
      <c r="H393" s="152"/>
      <c r="I393" s="153"/>
      <c r="J393" s="154"/>
      <c r="K393" s="153"/>
    </row>
    <row r="394" spans="1:11" ht="15.75" customHeight="1" x14ac:dyDescent="0.25">
      <c r="A394" s="148"/>
      <c r="B394" s="151"/>
      <c r="C394" s="151"/>
      <c r="D394" s="148"/>
      <c r="E394" s="148"/>
      <c r="F394" s="148"/>
      <c r="G394" s="148"/>
      <c r="H394" s="152"/>
      <c r="I394" s="153"/>
      <c r="J394" s="154"/>
      <c r="K394" s="153"/>
    </row>
    <row r="395" spans="1:11" ht="15.75" customHeight="1" x14ac:dyDescent="0.25">
      <c r="A395" s="148"/>
      <c r="B395" s="151"/>
      <c r="C395" s="151"/>
      <c r="D395" s="148"/>
      <c r="E395" s="148"/>
      <c r="F395" s="148"/>
      <c r="G395" s="148"/>
      <c r="H395" s="152"/>
      <c r="I395" s="153"/>
      <c r="J395" s="154"/>
      <c r="K395" s="153"/>
    </row>
    <row r="396" spans="1:11" ht="15.75" customHeight="1" x14ac:dyDescent="0.25">
      <c r="A396" s="148"/>
      <c r="B396" s="151"/>
      <c r="C396" s="151"/>
      <c r="D396" s="148"/>
      <c r="E396" s="148"/>
      <c r="F396" s="148"/>
      <c r="G396" s="148"/>
      <c r="H396" s="152"/>
      <c r="I396" s="153"/>
      <c r="J396" s="154"/>
      <c r="K396" s="153"/>
    </row>
    <row r="397" spans="1:11" ht="15.75" customHeight="1" x14ac:dyDescent="0.25">
      <c r="A397" s="148"/>
      <c r="B397" s="151"/>
      <c r="C397" s="151"/>
      <c r="D397" s="148"/>
      <c r="E397" s="148"/>
      <c r="F397" s="148"/>
      <c r="G397" s="148"/>
      <c r="H397" s="152"/>
      <c r="I397" s="153"/>
      <c r="J397" s="154"/>
      <c r="K397" s="153"/>
    </row>
    <row r="398" spans="1:11" ht="15.75" customHeight="1" x14ac:dyDescent="0.25">
      <c r="A398" s="148"/>
      <c r="B398" s="151"/>
      <c r="C398" s="151"/>
      <c r="D398" s="148"/>
      <c r="E398" s="148"/>
      <c r="F398" s="148"/>
      <c r="G398" s="148"/>
      <c r="H398" s="152"/>
      <c r="I398" s="153"/>
      <c r="J398" s="154"/>
      <c r="K398" s="153"/>
    </row>
    <row r="399" spans="1:11" ht="15.75" customHeight="1" x14ac:dyDescent="0.25">
      <c r="A399" s="148"/>
      <c r="B399" s="151"/>
      <c r="C399" s="151"/>
      <c r="D399" s="148"/>
      <c r="E399" s="148"/>
      <c r="F399" s="148"/>
      <c r="G399" s="148"/>
      <c r="H399" s="152"/>
      <c r="I399" s="153"/>
      <c r="J399" s="154"/>
      <c r="K399" s="153"/>
    </row>
    <row r="400" spans="1:11" ht="15.75" customHeight="1" x14ac:dyDescent="0.25">
      <c r="A400" s="148"/>
      <c r="B400" s="151"/>
      <c r="C400" s="151"/>
      <c r="D400" s="148"/>
      <c r="E400" s="148"/>
      <c r="F400" s="148"/>
      <c r="G400" s="148"/>
      <c r="H400" s="152"/>
      <c r="I400" s="153"/>
      <c r="J400" s="154"/>
      <c r="K400" s="153"/>
    </row>
    <row r="401" spans="1:11" ht="15.75" customHeight="1" x14ac:dyDescent="0.25">
      <c r="A401" s="148"/>
      <c r="B401" s="151"/>
      <c r="C401" s="151"/>
      <c r="D401" s="148"/>
      <c r="E401" s="148"/>
      <c r="F401" s="148"/>
      <c r="G401" s="148"/>
      <c r="H401" s="152"/>
      <c r="I401" s="153"/>
      <c r="J401" s="154"/>
      <c r="K401" s="153"/>
    </row>
    <row r="402" spans="1:11" ht="15.75" customHeight="1" x14ac:dyDescent="0.25">
      <c r="A402" s="148"/>
      <c r="B402" s="151"/>
      <c r="C402" s="151"/>
      <c r="D402" s="148"/>
      <c r="E402" s="148"/>
      <c r="F402" s="148"/>
      <c r="G402" s="148"/>
      <c r="H402" s="152"/>
      <c r="I402" s="153"/>
      <c r="J402" s="154"/>
      <c r="K402" s="153"/>
    </row>
    <row r="403" spans="1:11" ht="15.75" customHeight="1" x14ac:dyDescent="0.25">
      <c r="A403" s="148"/>
      <c r="B403" s="151"/>
      <c r="C403" s="151"/>
      <c r="D403" s="148"/>
      <c r="E403" s="148"/>
      <c r="F403" s="148"/>
      <c r="G403" s="148"/>
      <c r="H403" s="152"/>
      <c r="I403" s="153"/>
      <c r="J403" s="154"/>
      <c r="K403" s="153"/>
    </row>
    <row r="404" spans="1:11" ht="15.75" customHeight="1" x14ac:dyDescent="0.25">
      <c r="A404" s="148"/>
      <c r="B404" s="151"/>
      <c r="C404" s="151"/>
      <c r="D404" s="148"/>
      <c r="E404" s="148"/>
      <c r="F404" s="148"/>
      <c r="G404" s="148"/>
      <c r="H404" s="152"/>
      <c r="I404" s="153"/>
      <c r="J404" s="154"/>
      <c r="K404" s="153"/>
    </row>
    <row r="405" spans="1:11" ht="15.75" customHeight="1" x14ac:dyDescent="0.25">
      <c r="A405" s="148"/>
      <c r="B405" s="151"/>
      <c r="C405" s="151"/>
      <c r="D405" s="148"/>
      <c r="E405" s="148"/>
      <c r="F405" s="148"/>
      <c r="G405" s="148"/>
      <c r="H405" s="152"/>
      <c r="I405" s="153"/>
      <c r="J405" s="154"/>
      <c r="K405" s="153"/>
    </row>
    <row r="406" spans="1:11" ht="15.75" customHeight="1" x14ac:dyDescent="0.25">
      <c r="A406" s="148"/>
      <c r="B406" s="151"/>
      <c r="C406" s="151"/>
      <c r="D406" s="148"/>
      <c r="E406" s="148"/>
      <c r="F406" s="148"/>
      <c r="G406" s="148"/>
      <c r="H406" s="152"/>
      <c r="I406" s="153"/>
      <c r="J406" s="154"/>
      <c r="K406" s="153"/>
    </row>
    <row r="407" spans="1:11" ht="15.75" customHeight="1" x14ac:dyDescent="0.25">
      <c r="A407" s="148"/>
      <c r="B407" s="151"/>
      <c r="C407" s="151"/>
      <c r="D407" s="148"/>
      <c r="E407" s="148"/>
      <c r="F407" s="148"/>
      <c r="G407" s="148"/>
      <c r="H407" s="152"/>
      <c r="I407" s="153"/>
      <c r="J407" s="154"/>
      <c r="K407" s="153"/>
    </row>
    <row r="408" spans="1:11" ht="15.75" customHeight="1" x14ac:dyDescent="0.25">
      <c r="A408" s="148"/>
      <c r="B408" s="151"/>
      <c r="C408" s="151"/>
      <c r="D408" s="148"/>
      <c r="E408" s="148"/>
      <c r="F408" s="148"/>
      <c r="G408" s="148"/>
      <c r="H408" s="152"/>
      <c r="I408" s="153"/>
      <c r="J408" s="154"/>
      <c r="K408" s="153"/>
    </row>
    <row r="409" spans="1:11" ht="15.75" customHeight="1" x14ac:dyDescent="0.25">
      <c r="A409" s="148"/>
      <c r="B409" s="151"/>
      <c r="C409" s="151"/>
      <c r="D409" s="148"/>
      <c r="E409" s="148"/>
      <c r="F409" s="148"/>
      <c r="G409" s="148"/>
      <c r="H409" s="152"/>
      <c r="I409" s="153"/>
      <c r="J409" s="154"/>
      <c r="K409" s="153"/>
    </row>
    <row r="410" spans="1:11" ht="15.75" customHeight="1" x14ac:dyDescent="0.25">
      <c r="A410" s="148"/>
      <c r="B410" s="151"/>
      <c r="C410" s="151"/>
      <c r="D410" s="148"/>
      <c r="E410" s="148"/>
      <c r="F410" s="148"/>
      <c r="G410" s="148"/>
      <c r="H410" s="152"/>
      <c r="I410" s="153"/>
      <c r="J410" s="154"/>
      <c r="K410" s="153"/>
    </row>
    <row r="411" spans="1:11" ht="15.75" customHeight="1" x14ac:dyDescent="0.25">
      <c r="A411" s="148"/>
      <c r="B411" s="151"/>
      <c r="C411" s="151"/>
      <c r="D411" s="148"/>
      <c r="E411" s="148"/>
      <c r="F411" s="148"/>
      <c r="G411" s="148"/>
      <c r="H411" s="152"/>
      <c r="I411" s="153"/>
      <c r="J411" s="154"/>
      <c r="K411" s="153"/>
    </row>
    <row r="412" spans="1:11" ht="15.75" customHeight="1" x14ac:dyDescent="0.25">
      <c r="A412" s="148"/>
      <c r="B412" s="151"/>
      <c r="C412" s="151"/>
      <c r="D412" s="148"/>
      <c r="E412" s="148"/>
      <c r="F412" s="148"/>
      <c r="G412" s="148"/>
      <c r="H412" s="152"/>
      <c r="I412" s="153"/>
      <c r="J412" s="154"/>
      <c r="K412" s="153"/>
    </row>
    <row r="413" spans="1:11" ht="15.75" customHeight="1" x14ac:dyDescent="0.25">
      <c r="A413" s="148"/>
      <c r="B413" s="151"/>
      <c r="C413" s="151"/>
      <c r="D413" s="148"/>
      <c r="E413" s="148"/>
      <c r="F413" s="148"/>
      <c r="G413" s="148"/>
      <c r="H413" s="152"/>
      <c r="I413" s="153"/>
      <c r="J413" s="154"/>
      <c r="K413" s="153"/>
    </row>
    <row r="414" spans="1:11" ht="15.75" customHeight="1" x14ac:dyDescent="0.25">
      <c r="A414" s="148"/>
      <c r="B414" s="151"/>
      <c r="C414" s="151"/>
      <c r="D414" s="148"/>
      <c r="E414" s="148"/>
      <c r="F414" s="148"/>
      <c r="G414" s="148"/>
      <c r="H414" s="152"/>
      <c r="I414" s="153"/>
      <c r="J414" s="154"/>
      <c r="K414" s="153"/>
    </row>
    <row r="415" spans="1:11" ht="15.75" customHeight="1" x14ac:dyDescent="0.25">
      <c r="A415" s="148"/>
      <c r="B415" s="151"/>
      <c r="C415" s="151"/>
      <c r="D415" s="148"/>
      <c r="E415" s="148"/>
      <c r="F415" s="148"/>
      <c r="G415" s="148"/>
      <c r="H415" s="152"/>
      <c r="I415" s="153"/>
      <c r="J415" s="154"/>
      <c r="K415" s="153"/>
    </row>
    <row r="416" spans="1:11" ht="15.75" customHeight="1" x14ac:dyDescent="0.25">
      <c r="A416" s="148"/>
      <c r="B416" s="151"/>
      <c r="C416" s="151"/>
      <c r="D416" s="148"/>
      <c r="E416" s="148"/>
      <c r="F416" s="148"/>
      <c r="G416" s="148"/>
      <c r="H416" s="152"/>
      <c r="I416" s="153"/>
      <c r="J416" s="154"/>
      <c r="K416" s="153"/>
    </row>
    <row r="417" spans="1:11" ht="15.75" customHeight="1" x14ac:dyDescent="0.25">
      <c r="A417" s="148"/>
      <c r="B417" s="151"/>
      <c r="C417" s="151"/>
      <c r="D417" s="148"/>
      <c r="E417" s="148"/>
      <c r="F417" s="148"/>
      <c r="G417" s="148"/>
      <c r="H417" s="152"/>
      <c r="I417" s="153"/>
      <c r="J417" s="154"/>
      <c r="K417" s="153"/>
    </row>
    <row r="418" spans="1:11" ht="15.75" customHeight="1" x14ac:dyDescent="0.25">
      <c r="A418" s="148"/>
      <c r="B418" s="151"/>
      <c r="C418" s="151"/>
      <c r="D418" s="148"/>
      <c r="E418" s="148"/>
      <c r="F418" s="148"/>
      <c r="G418" s="148"/>
      <c r="H418" s="152"/>
      <c r="I418" s="153"/>
      <c r="J418" s="154"/>
      <c r="K418" s="153"/>
    </row>
    <row r="419" spans="1:11" ht="15.75" customHeight="1" x14ac:dyDescent="0.25">
      <c r="A419" s="148"/>
      <c r="B419" s="151"/>
      <c r="C419" s="151"/>
      <c r="D419" s="148"/>
      <c r="E419" s="148"/>
      <c r="F419" s="148"/>
      <c r="G419" s="148"/>
      <c r="H419" s="152"/>
      <c r="I419" s="153"/>
      <c r="J419" s="154"/>
      <c r="K419" s="153"/>
    </row>
    <row r="420" spans="1:11" ht="15.75" customHeight="1" x14ac:dyDescent="0.25">
      <c r="A420" s="148"/>
      <c r="B420" s="151"/>
      <c r="C420" s="151"/>
      <c r="D420" s="148"/>
      <c r="E420" s="148"/>
      <c r="F420" s="148"/>
      <c r="G420" s="148"/>
      <c r="H420" s="152"/>
      <c r="I420" s="153"/>
      <c r="J420" s="154"/>
      <c r="K420" s="153"/>
    </row>
    <row r="421" spans="1:11" ht="15.75" customHeight="1" x14ac:dyDescent="0.25">
      <c r="A421" s="148"/>
      <c r="B421" s="151"/>
      <c r="C421" s="151"/>
      <c r="D421" s="148"/>
      <c r="E421" s="148"/>
      <c r="F421" s="148"/>
      <c r="G421" s="148"/>
      <c r="H421" s="152"/>
      <c r="I421" s="153"/>
      <c r="J421" s="154"/>
      <c r="K421" s="153"/>
    </row>
    <row r="422" spans="1:11" ht="15.75" customHeight="1" x14ac:dyDescent="0.25">
      <c r="A422" s="148"/>
      <c r="B422" s="151"/>
      <c r="C422" s="151"/>
      <c r="D422" s="148"/>
      <c r="E422" s="148"/>
      <c r="F422" s="148"/>
      <c r="G422" s="148"/>
      <c r="H422" s="152"/>
      <c r="I422" s="153"/>
      <c r="J422" s="154"/>
      <c r="K422" s="153"/>
    </row>
    <row r="423" spans="1:11" ht="15.75" customHeight="1" x14ac:dyDescent="0.25">
      <c r="A423" s="148"/>
      <c r="B423" s="151"/>
      <c r="C423" s="151"/>
      <c r="D423" s="148"/>
      <c r="E423" s="148"/>
      <c r="F423" s="148"/>
      <c r="G423" s="148"/>
      <c r="H423" s="152"/>
      <c r="I423" s="153"/>
      <c r="J423" s="154"/>
      <c r="K423" s="153"/>
    </row>
    <row r="424" spans="1:11" ht="15.75" customHeight="1" x14ac:dyDescent="0.25">
      <c r="A424" s="148"/>
      <c r="B424" s="151"/>
      <c r="C424" s="151"/>
      <c r="D424" s="148"/>
      <c r="E424" s="148"/>
      <c r="F424" s="148"/>
      <c r="G424" s="148"/>
      <c r="H424" s="152"/>
      <c r="I424" s="153"/>
      <c r="J424" s="154"/>
      <c r="K424" s="153"/>
    </row>
    <row r="425" spans="1:11" ht="15.75" customHeight="1" x14ac:dyDescent="0.25">
      <c r="A425" s="148"/>
      <c r="B425" s="151"/>
      <c r="C425" s="151"/>
      <c r="D425" s="148"/>
      <c r="E425" s="148"/>
      <c r="F425" s="148"/>
      <c r="G425" s="148"/>
      <c r="H425" s="152"/>
      <c r="I425" s="153"/>
      <c r="J425" s="154"/>
      <c r="K425" s="153"/>
    </row>
    <row r="426" spans="1:11" ht="15.75" customHeight="1" x14ac:dyDescent="0.25">
      <c r="A426" s="148"/>
      <c r="B426" s="151"/>
      <c r="C426" s="151"/>
      <c r="D426" s="148"/>
      <c r="E426" s="148"/>
      <c r="F426" s="148"/>
      <c r="G426" s="148"/>
      <c r="H426" s="152"/>
      <c r="I426" s="153"/>
      <c r="J426" s="154"/>
      <c r="K426" s="153"/>
    </row>
    <row r="427" spans="1:11" ht="15.75" customHeight="1" x14ac:dyDescent="0.25">
      <c r="A427" s="148"/>
      <c r="B427" s="151"/>
      <c r="C427" s="151"/>
      <c r="D427" s="148"/>
      <c r="E427" s="148"/>
      <c r="F427" s="148"/>
      <c r="G427" s="148"/>
      <c r="H427" s="152"/>
      <c r="I427" s="153"/>
      <c r="J427" s="154"/>
      <c r="K427" s="153"/>
    </row>
    <row r="428" spans="1:11" ht="15.75" customHeight="1" x14ac:dyDescent="0.25">
      <c r="A428" s="148"/>
      <c r="B428" s="151"/>
      <c r="C428" s="151"/>
      <c r="D428" s="148"/>
      <c r="E428" s="148"/>
      <c r="F428" s="148"/>
      <c r="G428" s="148"/>
      <c r="H428" s="152"/>
      <c r="I428" s="153"/>
      <c r="J428" s="154"/>
      <c r="K428" s="153"/>
    </row>
    <row r="429" spans="1:11" ht="15.75" customHeight="1" x14ac:dyDescent="0.25">
      <c r="A429" s="148"/>
      <c r="B429" s="151"/>
      <c r="C429" s="151"/>
      <c r="D429" s="148"/>
      <c r="E429" s="148"/>
      <c r="F429" s="148"/>
      <c r="G429" s="148"/>
      <c r="H429" s="152"/>
      <c r="I429" s="153"/>
      <c r="J429" s="154"/>
      <c r="K429" s="153"/>
    </row>
    <row r="430" spans="1:11" ht="15.75" customHeight="1" x14ac:dyDescent="0.25">
      <c r="A430" s="148"/>
      <c r="B430" s="151"/>
      <c r="C430" s="151"/>
      <c r="D430" s="148"/>
      <c r="E430" s="148"/>
      <c r="F430" s="148"/>
      <c r="G430" s="148"/>
      <c r="H430" s="152"/>
      <c r="I430" s="153"/>
      <c r="J430" s="154"/>
      <c r="K430" s="153"/>
    </row>
    <row r="431" spans="1:11" ht="15.75" customHeight="1" x14ac:dyDescent="0.25">
      <c r="A431" s="148"/>
      <c r="B431" s="151"/>
      <c r="C431" s="151"/>
      <c r="D431" s="148"/>
      <c r="E431" s="148"/>
      <c r="F431" s="148"/>
      <c r="G431" s="148"/>
      <c r="H431" s="152"/>
      <c r="I431" s="153"/>
      <c r="J431" s="154"/>
      <c r="K431" s="153"/>
    </row>
    <row r="432" spans="1:11" ht="15.75" customHeight="1" x14ac:dyDescent="0.25">
      <c r="A432" s="148"/>
      <c r="B432" s="151"/>
      <c r="C432" s="151"/>
      <c r="D432" s="148"/>
      <c r="E432" s="148"/>
      <c r="F432" s="148"/>
      <c r="G432" s="148"/>
      <c r="H432" s="152"/>
      <c r="I432" s="153"/>
      <c r="J432" s="154"/>
      <c r="K432" s="153"/>
    </row>
    <row r="433" spans="1:11" ht="15.75" customHeight="1" x14ac:dyDescent="0.25">
      <c r="A433" s="148"/>
      <c r="B433" s="151"/>
      <c r="C433" s="151"/>
      <c r="D433" s="148"/>
      <c r="E433" s="148"/>
      <c r="F433" s="148"/>
      <c r="G433" s="148"/>
      <c r="H433" s="152"/>
      <c r="I433" s="153"/>
      <c r="J433" s="154"/>
      <c r="K433" s="153"/>
    </row>
    <row r="434" spans="1:11" ht="15.75" customHeight="1" x14ac:dyDescent="0.25">
      <c r="A434" s="148"/>
      <c r="B434" s="151"/>
      <c r="C434" s="151"/>
      <c r="D434" s="148"/>
      <c r="E434" s="148"/>
      <c r="F434" s="148"/>
      <c r="G434" s="148"/>
      <c r="H434" s="152"/>
      <c r="I434" s="153"/>
      <c r="J434" s="154"/>
      <c r="K434" s="153"/>
    </row>
    <row r="435" spans="1:11" ht="15.75" customHeight="1" x14ac:dyDescent="0.25">
      <c r="A435" s="148"/>
      <c r="B435" s="151"/>
      <c r="C435" s="151"/>
      <c r="D435" s="148"/>
      <c r="E435" s="148"/>
      <c r="F435" s="148"/>
      <c r="G435" s="148"/>
      <c r="H435" s="152"/>
      <c r="I435" s="153"/>
      <c r="J435" s="154"/>
      <c r="K435" s="153"/>
    </row>
    <row r="436" spans="1:11" ht="15.75" customHeight="1" x14ac:dyDescent="0.25">
      <c r="A436" s="148"/>
      <c r="B436" s="151"/>
      <c r="C436" s="151"/>
      <c r="D436" s="148"/>
      <c r="E436" s="148"/>
      <c r="F436" s="148"/>
      <c r="G436" s="148"/>
      <c r="H436" s="152"/>
      <c r="I436" s="153"/>
      <c r="J436" s="154"/>
      <c r="K436" s="153"/>
    </row>
    <row r="437" spans="1:11" ht="15.75" customHeight="1" x14ac:dyDescent="0.25">
      <c r="A437" s="148"/>
      <c r="B437" s="151"/>
      <c r="C437" s="151"/>
      <c r="D437" s="148"/>
      <c r="E437" s="148"/>
      <c r="F437" s="148"/>
      <c r="G437" s="148"/>
      <c r="H437" s="152"/>
      <c r="I437" s="153"/>
      <c r="J437" s="154"/>
      <c r="K437" s="153"/>
    </row>
    <row r="438" spans="1:11" ht="15.75" customHeight="1" x14ac:dyDescent="0.25">
      <c r="A438" s="148"/>
      <c r="B438" s="151"/>
      <c r="C438" s="151"/>
      <c r="D438" s="148"/>
      <c r="E438" s="148"/>
      <c r="F438" s="148"/>
      <c r="G438" s="148"/>
      <c r="H438" s="152"/>
      <c r="I438" s="153"/>
      <c r="J438" s="154"/>
      <c r="K438" s="153"/>
    </row>
    <row r="439" spans="1:11" ht="15.75" customHeight="1" x14ac:dyDescent="0.25">
      <c r="A439" s="148"/>
      <c r="B439" s="151"/>
      <c r="C439" s="151"/>
      <c r="D439" s="148"/>
      <c r="E439" s="148"/>
      <c r="F439" s="148"/>
      <c r="G439" s="148"/>
      <c r="H439" s="152"/>
      <c r="I439" s="153"/>
      <c r="J439" s="154"/>
      <c r="K439" s="153"/>
    </row>
    <row r="440" spans="1:11" ht="15.75" customHeight="1" x14ac:dyDescent="0.25">
      <c r="A440" s="148"/>
      <c r="B440" s="151"/>
      <c r="C440" s="151"/>
      <c r="D440" s="148"/>
      <c r="E440" s="148"/>
      <c r="F440" s="148"/>
      <c r="G440" s="148"/>
      <c r="H440" s="152"/>
      <c r="I440" s="153"/>
      <c r="J440" s="154"/>
      <c r="K440" s="153"/>
    </row>
    <row r="441" spans="1:11" ht="15.75" customHeight="1" x14ac:dyDescent="0.25">
      <c r="A441" s="148"/>
      <c r="B441" s="151"/>
      <c r="C441" s="151"/>
      <c r="D441" s="148"/>
      <c r="E441" s="148"/>
      <c r="F441" s="148"/>
      <c r="G441" s="148"/>
      <c r="H441" s="152"/>
      <c r="I441" s="153"/>
      <c r="J441" s="154"/>
      <c r="K441" s="153"/>
    </row>
    <row r="442" spans="1:11" ht="15.75" customHeight="1" x14ac:dyDescent="0.25">
      <c r="A442" s="148"/>
      <c r="B442" s="151"/>
      <c r="C442" s="151"/>
      <c r="D442" s="148"/>
      <c r="E442" s="148"/>
      <c r="F442" s="148"/>
      <c r="G442" s="148"/>
      <c r="H442" s="152"/>
      <c r="I442" s="153"/>
      <c r="J442" s="154"/>
      <c r="K442" s="153"/>
    </row>
    <row r="443" spans="1:11" ht="15.75" customHeight="1" x14ac:dyDescent="0.25">
      <c r="A443" s="148"/>
      <c r="B443" s="151"/>
      <c r="C443" s="151"/>
      <c r="D443" s="148"/>
      <c r="E443" s="148"/>
      <c r="F443" s="148"/>
      <c r="G443" s="148"/>
      <c r="H443" s="152"/>
      <c r="I443" s="153"/>
      <c r="J443" s="154"/>
      <c r="K443" s="153"/>
    </row>
    <row r="444" spans="1:11" ht="15.75" customHeight="1" x14ac:dyDescent="0.25">
      <c r="A444" s="148"/>
      <c r="B444" s="151"/>
      <c r="C444" s="151"/>
      <c r="D444" s="148"/>
      <c r="E444" s="148"/>
      <c r="F444" s="148"/>
      <c r="G444" s="148"/>
      <c r="H444" s="152"/>
      <c r="I444" s="153"/>
      <c r="J444" s="154"/>
      <c r="K444" s="153"/>
    </row>
    <row r="445" spans="1:11" ht="15.75" customHeight="1" x14ac:dyDescent="0.25">
      <c r="A445" s="148"/>
      <c r="B445" s="151"/>
      <c r="C445" s="151"/>
      <c r="D445" s="148"/>
      <c r="E445" s="148"/>
      <c r="F445" s="148"/>
      <c r="G445" s="148"/>
      <c r="H445" s="152"/>
      <c r="I445" s="153"/>
      <c r="J445" s="154"/>
      <c r="K445" s="153"/>
    </row>
    <row r="446" spans="1:11" ht="15.75" customHeight="1" x14ac:dyDescent="0.25">
      <c r="A446" s="148"/>
      <c r="B446" s="151"/>
      <c r="C446" s="151"/>
      <c r="D446" s="148"/>
      <c r="E446" s="148"/>
      <c r="F446" s="148"/>
      <c r="G446" s="148"/>
      <c r="H446" s="152"/>
      <c r="I446" s="153"/>
      <c r="J446" s="154"/>
      <c r="K446" s="153"/>
    </row>
    <row r="447" spans="1:11" ht="15.75" customHeight="1" x14ac:dyDescent="0.25">
      <c r="A447" s="148"/>
      <c r="B447" s="151"/>
      <c r="C447" s="151"/>
      <c r="D447" s="148"/>
      <c r="E447" s="148"/>
      <c r="F447" s="148"/>
      <c r="G447" s="148"/>
      <c r="H447" s="152"/>
      <c r="I447" s="153"/>
      <c r="J447" s="154"/>
      <c r="K447" s="153"/>
    </row>
    <row r="448" spans="1:11" ht="15.75" customHeight="1" x14ac:dyDescent="0.25">
      <c r="A448" s="148"/>
      <c r="B448" s="151"/>
      <c r="C448" s="151"/>
      <c r="D448" s="148"/>
      <c r="E448" s="148"/>
      <c r="F448" s="148"/>
      <c r="G448" s="148"/>
      <c r="H448" s="152"/>
      <c r="I448" s="153"/>
      <c r="J448" s="154"/>
      <c r="K448" s="153"/>
    </row>
    <row r="449" spans="1:11" ht="15.75" customHeight="1" x14ac:dyDescent="0.25">
      <c r="A449" s="148"/>
      <c r="B449" s="151"/>
      <c r="C449" s="151"/>
      <c r="D449" s="148"/>
      <c r="E449" s="148"/>
      <c r="F449" s="148"/>
      <c r="G449" s="148"/>
      <c r="H449" s="152"/>
      <c r="I449" s="153"/>
      <c r="J449" s="154"/>
      <c r="K449" s="153"/>
    </row>
    <row r="450" spans="1:11" ht="15.75" customHeight="1" x14ac:dyDescent="0.25">
      <c r="A450" s="148"/>
      <c r="B450" s="151"/>
      <c r="C450" s="151"/>
      <c r="D450" s="148"/>
      <c r="E450" s="148"/>
      <c r="F450" s="148"/>
      <c r="G450" s="148"/>
      <c r="H450" s="152"/>
      <c r="I450" s="153"/>
      <c r="J450" s="154"/>
      <c r="K450" s="153"/>
    </row>
    <row r="451" spans="1:11" ht="15.75" customHeight="1" x14ac:dyDescent="0.25">
      <c r="A451" s="148"/>
      <c r="B451" s="151"/>
      <c r="C451" s="151"/>
      <c r="D451" s="148"/>
      <c r="E451" s="148"/>
      <c r="F451" s="148"/>
      <c r="G451" s="148"/>
      <c r="H451" s="152"/>
      <c r="I451" s="153"/>
      <c r="J451" s="154"/>
      <c r="K451" s="153"/>
    </row>
    <row r="452" spans="1:11" ht="15.75" customHeight="1" x14ac:dyDescent="0.25">
      <c r="A452" s="148"/>
      <c r="B452" s="151"/>
      <c r="C452" s="151"/>
      <c r="D452" s="148"/>
      <c r="E452" s="148"/>
      <c r="F452" s="148"/>
      <c r="G452" s="148"/>
      <c r="H452" s="152"/>
      <c r="I452" s="153"/>
      <c r="J452" s="154"/>
      <c r="K452" s="153"/>
    </row>
    <row r="453" spans="1:11" ht="15.75" customHeight="1" x14ac:dyDescent="0.25">
      <c r="A453" s="148"/>
      <c r="B453" s="151"/>
      <c r="C453" s="151"/>
      <c r="D453" s="148"/>
      <c r="E453" s="148"/>
      <c r="F453" s="148"/>
      <c r="G453" s="148"/>
      <c r="H453" s="152"/>
      <c r="I453" s="153"/>
      <c r="J453" s="154"/>
      <c r="K453" s="153"/>
    </row>
    <row r="454" spans="1:11" ht="15.75" customHeight="1" x14ac:dyDescent="0.25">
      <c r="A454" s="148"/>
      <c r="B454" s="151"/>
      <c r="C454" s="151"/>
      <c r="D454" s="148"/>
      <c r="E454" s="148"/>
      <c r="F454" s="148"/>
      <c r="G454" s="148"/>
      <c r="H454" s="152"/>
      <c r="I454" s="153"/>
      <c r="J454" s="154"/>
      <c r="K454" s="153"/>
    </row>
    <row r="455" spans="1:11" ht="15.75" customHeight="1" x14ac:dyDescent="0.25">
      <c r="A455" s="148"/>
      <c r="B455" s="151"/>
      <c r="C455" s="151"/>
      <c r="D455" s="148"/>
      <c r="E455" s="148"/>
      <c r="F455" s="148"/>
      <c r="G455" s="148"/>
      <c r="H455" s="152"/>
      <c r="I455" s="153"/>
      <c r="J455" s="154"/>
      <c r="K455" s="153"/>
    </row>
    <row r="456" spans="1:11" ht="15.75" customHeight="1" x14ac:dyDescent="0.25">
      <c r="A456" s="148"/>
      <c r="B456" s="151"/>
      <c r="C456" s="151"/>
      <c r="D456" s="148"/>
      <c r="E456" s="148"/>
      <c r="F456" s="148"/>
      <c r="G456" s="148"/>
      <c r="H456" s="152"/>
      <c r="I456" s="153"/>
      <c r="J456" s="154"/>
      <c r="K456" s="153"/>
    </row>
    <row r="457" spans="1:11" ht="15.75" customHeight="1" x14ac:dyDescent="0.25">
      <c r="A457" s="148"/>
      <c r="B457" s="151"/>
      <c r="C457" s="151"/>
      <c r="D457" s="148"/>
      <c r="E457" s="148"/>
      <c r="F457" s="148"/>
      <c r="G457" s="148"/>
      <c r="H457" s="152"/>
      <c r="I457" s="153"/>
      <c r="J457" s="154"/>
      <c r="K457" s="153"/>
    </row>
    <row r="458" spans="1:11" ht="15.75" customHeight="1" x14ac:dyDescent="0.25">
      <c r="A458" s="148"/>
      <c r="B458" s="151"/>
      <c r="C458" s="151"/>
      <c r="D458" s="148"/>
      <c r="E458" s="148"/>
      <c r="F458" s="148"/>
      <c r="G458" s="148"/>
      <c r="H458" s="152"/>
      <c r="I458" s="153"/>
      <c r="J458" s="154"/>
      <c r="K458" s="153"/>
    </row>
    <row r="459" spans="1:11" ht="15.75" customHeight="1" x14ac:dyDescent="0.25">
      <c r="A459" s="148"/>
      <c r="B459" s="151"/>
      <c r="C459" s="151"/>
      <c r="D459" s="148"/>
      <c r="E459" s="148"/>
      <c r="F459" s="148"/>
      <c r="G459" s="148"/>
      <c r="H459" s="152"/>
      <c r="I459" s="153"/>
      <c r="J459" s="154"/>
      <c r="K459" s="153"/>
    </row>
    <row r="460" spans="1:11" ht="15.75" customHeight="1" x14ac:dyDescent="0.25">
      <c r="A460" s="148"/>
      <c r="B460" s="151"/>
      <c r="C460" s="151"/>
      <c r="D460" s="148"/>
      <c r="E460" s="148"/>
      <c r="F460" s="148"/>
      <c r="G460" s="148"/>
      <c r="H460" s="152"/>
      <c r="I460" s="153"/>
      <c r="J460" s="154"/>
      <c r="K460" s="153"/>
    </row>
    <row r="461" spans="1:11" ht="15.75" customHeight="1" x14ac:dyDescent="0.25">
      <c r="A461" s="148"/>
      <c r="B461" s="151"/>
      <c r="C461" s="151"/>
      <c r="D461" s="148"/>
      <c r="E461" s="148"/>
      <c r="F461" s="148"/>
      <c r="G461" s="148"/>
      <c r="H461" s="152"/>
      <c r="I461" s="153"/>
      <c r="J461" s="154"/>
      <c r="K461" s="153"/>
    </row>
    <row r="462" spans="1:11" ht="15.75" customHeight="1" x14ac:dyDescent="0.25">
      <c r="A462" s="148"/>
      <c r="B462" s="151"/>
      <c r="C462" s="151"/>
      <c r="D462" s="148"/>
      <c r="E462" s="148"/>
      <c r="F462" s="148"/>
      <c r="G462" s="148"/>
      <c r="H462" s="152"/>
      <c r="I462" s="153"/>
      <c r="J462" s="154"/>
      <c r="K462" s="153"/>
    </row>
    <row r="463" spans="1:11" ht="15.75" customHeight="1" x14ac:dyDescent="0.25">
      <c r="A463" s="148"/>
      <c r="B463" s="151"/>
      <c r="C463" s="151"/>
      <c r="D463" s="148"/>
      <c r="E463" s="148"/>
      <c r="F463" s="148"/>
      <c r="G463" s="148"/>
      <c r="H463" s="152"/>
      <c r="I463" s="153"/>
      <c r="J463" s="154"/>
      <c r="K463" s="153"/>
    </row>
    <row r="464" spans="1:11" ht="15.75" customHeight="1" x14ac:dyDescent="0.25">
      <c r="A464" s="148"/>
      <c r="B464" s="151"/>
      <c r="C464" s="151"/>
      <c r="D464" s="148"/>
      <c r="E464" s="148"/>
      <c r="F464" s="148"/>
      <c r="G464" s="148"/>
      <c r="H464" s="152"/>
      <c r="I464" s="153"/>
      <c r="J464" s="154"/>
      <c r="K464" s="153"/>
    </row>
    <row r="465" spans="1:11" ht="15.75" customHeight="1" x14ac:dyDescent="0.25">
      <c r="A465" s="148"/>
      <c r="B465" s="151"/>
      <c r="C465" s="151"/>
      <c r="D465" s="148"/>
      <c r="E465" s="148"/>
      <c r="F465" s="148"/>
      <c r="G465" s="148"/>
      <c r="H465" s="152"/>
      <c r="I465" s="153"/>
      <c r="J465" s="154"/>
      <c r="K465" s="153"/>
    </row>
    <row r="466" spans="1:11" ht="15.75" customHeight="1" x14ac:dyDescent="0.25">
      <c r="A466" s="148"/>
      <c r="B466" s="151"/>
      <c r="C466" s="151"/>
      <c r="D466" s="148"/>
      <c r="E466" s="148"/>
      <c r="F466" s="148"/>
      <c r="G466" s="148"/>
      <c r="H466" s="152"/>
      <c r="I466" s="153"/>
      <c r="J466" s="154"/>
      <c r="K466" s="153"/>
    </row>
    <row r="467" spans="1:11" ht="15.75" customHeight="1" x14ac:dyDescent="0.25">
      <c r="A467" s="148"/>
      <c r="B467" s="151"/>
      <c r="C467" s="151"/>
      <c r="D467" s="148"/>
      <c r="E467" s="148"/>
      <c r="F467" s="148"/>
      <c r="G467" s="148"/>
      <c r="H467" s="152"/>
      <c r="I467" s="153"/>
      <c r="J467" s="154"/>
      <c r="K467" s="153"/>
    </row>
    <row r="468" spans="1:11" ht="15.75" customHeight="1" x14ac:dyDescent="0.25">
      <c r="A468" s="148"/>
      <c r="B468" s="151"/>
      <c r="C468" s="151"/>
      <c r="D468" s="148"/>
      <c r="E468" s="148"/>
      <c r="F468" s="148"/>
      <c r="G468" s="148"/>
      <c r="H468" s="152"/>
      <c r="I468" s="153"/>
      <c r="J468" s="154"/>
      <c r="K468" s="153"/>
    </row>
    <row r="469" spans="1:11" ht="15.75" customHeight="1" x14ac:dyDescent="0.25">
      <c r="A469" s="148"/>
      <c r="B469" s="151"/>
      <c r="C469" s="151"/>
      <c r="D469" s="148"/>
      <c r="E469" s="148"/>
      <c r="F469" s="148"/>
      <c r="G469" s="148"/>
      <c r="H469" s="152"/>
      <c r="I469" s="153"/>
      <c r="J469" s="154"/>
      <c r="K469" s="153"/>
    </row>
    <row r="470" spans="1:11" ht="15.75" customHeight="1" x14ac:dyDescent="0.25">
      <c r="A470" s="148"/>
      <c r="B470" s="151"/>
      <c r="C470" s="151"/>
      <c r="D470" s="148"/>
      <c r="E470" s="148"/>
      <c r="F470" s="148"/>
      <c r="G470" s="148"/>
      <c r="H470" s="152"/>
      <c r="I470" s="153"/>
      <c r="J470" s="154"/>
      <c r="K470" s="153"/>
    </row>
    <row r="471" spans="1:11" ht="15.75" customHeight="1" x14ac:dyDescent="0.25">
      <c r="A471" s="148"/>
      <c r="B471" s="151"/>
      <c r="C471" s="151"/>
      <c r="D471" s="148"/>
      <c r="E471" s="148"/>
      <c r="F471" s="148"/>
      <c r="G471" s="148"/>
      <c r="H471" s="152"/>
      <c r="I471" s="153"/>
      <c r="J471" s="154"/>
      <c r="K471" s="153"/>
    </row>
    <row r="472" spans="1:11" ht="15.75" customHeight="1" x14ac:dyDescent="0.25">
      <c r="A472" s="148"/>
      <c r="B472" s="151"/>
      <c r="C472" s="151"/>
      <c r="D472" s="148"/>
      <c r="E472" s="148"/>
      <c r="F472" s="148"/>
      <c r="G472" s="148"/>
      <c r="H472" s="152"/>
      <c r="I472" s="153"/>
      <c r="J472" s="154"/>
      <c r="K472" s="153"/>
    </row>
    <row r="473" spans="1:11" ht="15.75" customHeight="1" x14ac:dyDescent="0.25">
      <c r="A473" s="148"/>
      <c r="B473" s="151"/>
      <c r="C473" s="151"/>
      <c r="D473" s="148"/>
      <c r="E473" s="148"/>
      <c r="F473" s="148"/>
      <c r="G473" s="148"/>
      <c r="H473" s="152"/>
      <c r="I473" s="153"/>
      <c r="J473" s="154"/>
      <c r="K473" s="153"/>
    </row>
    <row r="474" spans="1:11" ht="15.75" customHeight="1" x14ac:dyDescent="0.25">
      <c r="A474" s="148"/>
      <c r="B474" s="151"/>
      <c r="C474" s="151"/>
      <c r="D474" s="148"/>
      <c r="E474" s="148"/>
      <c r="F474" s="148"/>
      <c r="G474" s="148"/>
      <c r="H474" s="152"/>
      <c r="I474" s="153"/>
      <c r="J474" s="154"/>
      <c r="K474" s="153"/>
    </row>
    <row r="475" spans="1:11" ht="15.75" customHeight="1" x14ac:dyDescent="0.25">
      <c r="A475" s="148"/>
      <c r="B475" s="151"/>
      <c r="C475" s="151"/>
      <c r="D475" s="148"/>
      <c r="E475" s="148"/>
      <c r="F475" s="148"/>
      <c r="G475" s="148"/>
      <c r="H475" s="152"/>
      <c r="I475" s="153"/>
      <c r="J475" s="154"/>
      <c r="K475" s="153"/>
    </row>
    <row r="476" spans="1:11" ht="15.75" customHeight="1" x14ac:dyDescent="0.25">
      <c r="A476" s="148"/>
      <c r="B476" s="151"/>
      <c r="C476" s="151"/>
      <c r="D476" s="148"/>
      <c r="E476" s="148"/>
      <c r="F476" s="148"/>
      <c r="G476" s="148"/>
      <c r="H476" s="152"/>
      <c r="I476" s="153"/>
      <c r="J476" s="154"/>
      <c r="K476" s="153"/>
    </row>
    <row r="477" spans="1:11" ht="15.75" customHeight="1" x14ac:dyDescent="0.25">
      <c r="A477" s="148"/>
      <c r="B477" s="151"/>
      <c r="C477" s="151"/>
      <c r="D477" s="148"/>
      <c r="E477" s="148"/>
      <c r="F477" s="148"/>
      <c r="G477" s="148"/>
      <c r="H477" s="152"/>
      <c r="I477" s="153"/>
      <c r="J477" s="154"/>
      <c r="K477" s="153"/>
    </row>
    <row r="478" spans="1:11" ht="15.75" customHeight="1" x14ac:dyDescent="0.25">
      <c r="A478" s="148"/>
      <c r="B478" s="151"/>
      <c r="C478" s="151"/>
      <c r="D478" s="148"/>
      <c r="E478" s="148"/>
      <c r="F478" s="148"/>
      <c r="G478" s="148"/>
      <c r="H478" s="152"/>
      <c r="I478" s="153"/>
      <c r="J478" s="154"/>
      <c r="K478" s="153"/>
    </row>
    <row r="479" spans="1:11" ht="15.75" customHeight="1" x14ac:dyDescent="0.25">
      <c r="A479" s="148"/>
      <c r="B479" s="151"/>
      <c r="C479" s="151"/>
      <c r="D479" s="148"/>
      <c r="E479" s="148"/>
      <c r="F479" s="148"/>
      <c r="G479" s="148"/>
      <c r="H479" s="152"/>
      <c r="I479" s="153"/>
      <c r="J479" s="154"/>
      <c r="K479" s="153"/>
    </row>
    <row r="480" spans="1:11" ht="15.75" customHeight="1" x14ac:dyDescent="0.25">
      <c r="A480" s="148"/>
      <c r="B480" s="151"/>
      <c r="C480" s="151"/>
      <c r="D480" s="148"/>
      <c r="E480" s="148"/>
      <c r="F480" s="148"/>
      <c r="G480" s="148"/>
      <c r="H480" s="152"/>
      <c r="I480" s="153"/>
      <c r="J480" s="154"/>
      <c r="K480" s="153"/>
    </row>
    <row r="481" spans="1:11" ht="15.75" customHeight="1" x14ac:dyDescent="0.25">
      <c r="A481" s="148"/>
      <c r="B481" s="151"/>
      <c r="C481" s="151"/>
      <c r="D481" s="148"/>
      <c r="E481" s="148"/>
      <c r="F481" s="148"/>
      <c r="G481" s="148"/>
      <c r="H481" s="152"/>
      <c r="I481" s="153"/>
      <c r="J481" s="154"/>
      <c r="K481" s="153"/>
    </row>
    <row r="482" spans="1:11" ht="15.75" customHeight="1" x14ac:dyDescent="0.25">
      <c r="A482" s="148"/>
      <c r="B482" s="151"/>
      <c r="C482" s="151"/>
      <c r="D482" s="148"/>
      <c r="E482" s="148"/>
      <c r="F482" s="148"/>
      <c r="G482" s="148"/>
      <c r="H482" s="152"/>
      <c r="I482" s="153"/>
      <c r="J482" s="154"/>
      <c r="K482" s="153"/>
    </row>
    <row r="483" spans="1:11" ht="15.75" customHeight="1" x14ac:dyDescent="0.25">
      <c r="A483" s="148"/>
      <c r="B483" s="151"/>
      <c r="C483" s="151"/>
      <c r="D483" s="148"/>
      <c r="E483" s="148"/>
      <c r="F483" s="148"/>
      <c r="G483" s="148"/>
      <c r="H483" s="152"/>
      <c r="I483" s="153"/>
      <c r="J483" s="154"/>
      <c r="K483" s="153"/>
    </row>
    <row r="484" spans="1:11" ht="15.75" customHeight="1" x14ac:dyDescent="0.25">
      <c r="A484" s="148"/>
      <c r="B484" s="151"/>
      <c r="C484" s="151"/>
      <c r="D484" s="148"/>
      <c r="E484" s="148"/>
      <c r="F484" s="148"/>
      <c r="G484" s="148"/>
      <c r="H484" s="152"/>
      <c r="I484" s="153"/>
      <c r="J484" s="154"/>
      <c r="K484" s="153"/>
    </row>
    <row r="485" spans="1:11" ht="15.75" customHeight="1" x14ac:dyDescent="0.25">
      <c r="A485" s="148"/>
      <c r="B485" s="151"/>
      <c r="C485" s="151"/>
      <c r="D485" s="148"/>
      <c r="E485" s="148"/>
      <c r="F485" s="148"/>
      <c r="G485" s="148"/>
      <c r="H485" s="152"/>
      <c r="I485" s="153"/>
      <c r="J485" s="154"/>
      <c r="K485" s="153"/>
    </row>
    <row r="486" spans="1:11" ht="15.75" customHeight="1" x14ac:dyDescent="0.25">
      <c r="A486" s="148"/>
      <c r="B486" s="151"/>
      <c r="C486" s="151"/>
      <c r="D486" s="148"/>
      <c r="E486" s="148"/>
      <c r="F486" s="148"/>
      <c r="G486" s="148"/>
      <c r="H486" s="152"/>
      <c r="I486" s="153"/>
      <c r="J486" s="154"/>
      <c r="K486" s="153"/>
    </row>
    <row r="487" spans="1:11" ht="15.75" customHeight="1" x14ac:dyDescent="0.25">
      <c r="A487" s="148"/>
      <c r="B487" s="151"/>
      <c r="C487" s="151"/>
      <c r="D487" s="148"/>
      <c r="E487" s="148"/>
      <c r="F487" s="148"/>
      <c r="G487" s="148"/>
      <c r="H487" s="152"/>
      <c r="I487" s="153"/>
      <c r="J487" s="154"/>
      <c r="K487" s="153"/>
    </row>
    <row r="488" spans="1:11" ht="15.75" customHeight="1" x14ac:dyDescent="0.25">
      <c r="A488" s="148"/>
      <c r="B488" s="151"/>
      <c r="C488" s="151"/>
      <c r="D488" s="148"/>
      <c r="E488" s="148"/>
      <c r="F488" s="148"/>
      <c r="G488" s="148"/>
      <c r="H488" s="152"/>
      <c r="I488" s="153"/>
      <c r="J488" s="154"/>
      <c r="K488" s="153"/>
    </row>
    <row r="489" spans="1:11" ht="15.75" customHeight="1" x14ac:dyDescent="0.25">
      <c r="A489" s="148"/>
      <c r="B489" s="151"/>
      <c r="C489" s="151"/>
      <c r="D489" s="148"/>
      <c r="E489" s="148"/>
      <c r="F489" s="148"/>
      <c r="G489" s="148"/>
      <c r="H489" s="152"/>
      <c r="I489" s="153"/>
      <c r="J489" s="154"/>
      <c r="K489" s="153"/>
    </row>
    <row r="490" spans="1:11" ht="15.75" customHeight="1" x14ac:dyDescent="0.25">
      <c r="A490" s="148"/>
      <c r="B490" s="151"/>
      <c r="C490" s="151"/>
      <c r="D490" s="148"/>
      <c r="E490" s="148"/>
      <c r="F490" s="148"/>
      <c r="G490" s="148"/>
      <c r="H490" s="152"/>
      <c r="I490" s="153"/>
      <c r="J490" s="154"/>
      <c r="K490" s="153"/>
    </row>
    <row r="491" spans="1:11" ht="15.75" customHeight="1" x14ac:dyDescent="0.25">
      <c r="A491" s="148"/>
      <c r="B491" s="151"/>
      <c r="C491" s="151"/>
      <c r="D491" s="148"/>
      <c r="E491" s="148"/>
      <c r="F491" s="148"/>
      <c r="G491" s="148"/>
      <c r="H491" s="152"/>
      <c r="I491" s="153"/>
      <c r="J491" s="154"/>
      <c r="K491" s="153"/>
    </row>
    <row r="492" spans="1:11" ht="15.75" customHeight="1" x14ac:dyDescent="0.25">
      <c r="A492" s="148"/>
      <c r="B492" s="151"/>
      <c r="C492" s="151"/>
      <c r="D492" s="148"/>
      <c r="E492" s="148"/>
      <c r="F492" s="148"/>
      <c r="G492" s="148"/>
      <c r="H492" s="152"/>
      <c r="I492" s="153"/>
      <c r="J492" s="154"/>
      <c r="K492" s="153"/>
    </row>
    <row r="493" spans="1:11" ht="15.75" customHeight="1" x14ac:dyDescent="0.25">
      <c r="A493" s="148"/>
      <c r="B493" s="151"/>
      <c r="C493" s="151"/>
      <c r="D493" s="148"/>
      <c r="E493" s="148"/>
      <c r="F493" s="148"/>
      <c r="G493" s="148"/>
      <c r="H493" s="152"/>
      <c r="I493" s="153"/>
      <c r="J493" s="154"/>
      <c r="K493" s="153"/>
    </row>
    <row r="494" spans="1:11" ht="15.75" customHeight="1" x14ac:dyDescent="0.25">
      <c r="A494" s="148"/>
      <c r="B494" s="151"/>
      <c r="C494" s="151"/>
      <c r="D494" s="148"/>
      <c r="E494" s="148"/>
      <c r="F494" s="148"/>
      <c r="G494" s="148"/>
      <c r="H494" s="152"/>
      <c r="I494" s="153"/>
      <c r="J494" s="154"/>
      <c r="K494" s="153"/>
    </row>
    <row r="495" spans="1:11" ht="15.75" customHeight="1" x14ac:dyDescent="0.25">
      <c r="A495" s="148"/>
      <c r="B495" s="151"/>
      <c r="C495" s="151"/>
      <c r="D495" s="148"/>
      <c r="E495" s="148"/>
      <c r="F495" s="148"/>
      <c r="G495" s="148"/>
      <c r="H495" s="152"/>
      <c r="I495" s="153"/>
      <c r="J495" s="154"/>
      <c r="K495" s="153"/>
    </row>
    <row r="496" spans="1:11" ht="15.75" customHeight="1" x14ac:dyDescent="0.25">
      <c r="A496" s="148"/>
      <c r="B496" s="151"/>
      <c r="C496" s="151"/>
      <c r="D496" s="148"/>
      <c r="E496" s="148"/>
      <c r="F496" s="148"/>
      <c r="G496" s="148"/>
      <c r="H496" s="152"/>
      <c r="I496" s="153"/>
      <c r="J496" s="154"/>
      <c r="K496" s="153"/>
    </row>
    <row r="497" spans="1:11" ht="15.75" customHeight="1" x14ac:dyDescent="0.25">
      <c r="A497" s="148"/>
      <c r="B497" s="151"/>
      <c r="C497" s="151"/>
      <c r="D497" s="148"/>
      <c r="E497" s="148"/>
      <c r="F497" s="148"/>
      <c r="G497" s="148"/>
      <c r="H497" s="152"/>
      <c r="I497" s="153"/>
      <c r="J497" s="154"/>
      <c r="K497" s="153"/>
    </row>
    <row r="498" spans="1:11" ht="15.75" customHeight="1" x14ac:dyDescent="0.25">
      <c r="A498" s="148"/>
      <c r="B498" s="151"/>
      <c r="C498" s="151"/>
      <c r="D498" s="148"/>
      <c r="E498" s="148"/>
      <c r="F498" s="148"/>
      <c r="G498" s="148"/>
      <c r="H498" s="152"/>
      <c r="I498" s="153"/>
      <c r="J498" s="154"/>
      <c r="K498" s="153"/>
    </row>
    <row r="499" spans="1:11" ht="15.75" customHeight="1" x14ac:dyDescent="0.25">
      <c r="A499" s="148"/>
      <c r="B499" s="151"/>
      <c r="C499" s="151"/>
      <c r="D499" s="148"/>
      <c r="E499" s="148"/>
      <c r="F499" s="148"/>
      <c r="G499" s="148"/>
      <c r="H499" s="152"/>
      <c r="I499" s="153"/>
      <c r="J499" s="154"/>
      <c r="K499" s="153"/>
    </row>
    <row r="500" spans="1:11" ht="15.75" customHeight="1" x14ac:dyDescent="0.25">
      <c r="A500" s="148"/>
      <c r="B500" s="151"/>
      <c r="C500" s="151"/>
      <c r="D500" s="148"/>
      <c r="E500" s="148"/>
      <c r="F500" s="148"/>
      <c r="G500" s="148"/>
      <c r="H500" s="152"/>
      <c r="I500" s="153"/>
      <c r="J500" s="154"/>
      <c r="K500" s="153"/>
    </row>
    <row r="501" spans="1:11" ht="15.75" customHeight="1" x14ac:dyDescent="0.25">
      <c r="A501" s="148"/>
      <c r="B501" s="151"/>
      <c r="C501" s="151"/>
      <c r="D501" s="148"/>
      <c r="E501" s="148"/>
      <c r="F501" s="148"/>
      <c r="G501" s="148"/>
      <c r="H501" s="152"/>
      <c r="I501" s="153"/>
      <c r="J501" s="154"/>
      <c r="K501" s="153"/>
    </row>
    <row r="502" spans="1:11" ht="15.75" customHeight="1" x14ac:dyDescent="0.25">
      <c r="A502" s="148"/>
      <c r="B502" s="151"/>
      <c r="C502" s="151"/>
      <c r="D502" s="148"/>
      <c r="E502" s="148"/>
      <c r="F502" s="148"/>
      <c r="G502" s="148"/>
      <c r="H502" s="152"/>
      <c r="I502" s="153"/>
      <c r="J502" s="154"/>
      <c r="K502" s="153"/>
    </row>
    <row r="503" spans="1:11" ht="15.75" customHeight="1" x14ac:dyDescent="0.25">
      <c r="A503" s="148"/>
      <c r="B503" s="151"/>
      <c r="C503" s="151"/>
      <c r="D503" s="148"/>
      <c r="E503" s="148"/>
      <c r="F503" s="148"/>
      <c r="G503" s="148"/>
      <c r="H503" s="152"/>
      <c r="I503" s="153"/>
      <c r="J503" s="154"/>
      <c r="K503" s="153"/>
    </row>
    <row r="504" spans="1:11" ht="15.75" customHeight="1" x14ac:dyDescent="0.25">
      <c r="A504" s="148"/>
      <c r="B504" s="151"/>
      <c r="C504" s="151"/>
      <c r="D504" s="148"/>
      <c r="E504" s="148"/>
      <c r="F504" s="148"/>
      <c r="G504" s="148"/>
      <c r="H504" s="152"/>
      <c r="I504" s="153"/>
      <c r="J504" s="154"/>
      <c r="K504" s="153"/>
    </row>
    <row r="505" spans="1:11" ht="15.75" customHeight="1" x14ac:dyDescent="0.25">
      <c r="A505" s="148"/>
      <c r="B505" s="151"/>
      <c r="C505" s="151"/>
      <c r="D505" s="148"/>
      <c r="E505" s="148"/>
      <c r="F505" s="148"/>
      <c r="G505" s="148"/>
      <c r="H505" s="152"/>
      <c r="I505" s="153"/>
      <c r="J505" s="154"/>
      <c r="K505" s="153"/>
    </row>
    <row r="506" spans="1:11" ht="15.75" customHeight="1" x14ac:dyDescent="0.25">
      <c r="A506" s="148"/>
      <c r="B506" s="151"/>
      <c r="C506" s="151"/>
      <c r="D506" s="148"/>
      <c r="E506" s="148"/>
      <c r="F506" s="148"/>
      <c r="G506" s="148"/>
      <c r="H506" s="152"/>
      <c r="I506" s="153"/>
      <c r="J506" s="154"/>
      <c r="K506" s="153"/>
    </row>
    <row r="507" spans="1:11" ht="15.75" customHeight="1" x14ac:dyDescent="0.25">
      <c r="A507" s="148"/>
      <c r="B507" s="151"/>
      <c r="C507" s="151"/>
      <c r="D507" s="148"/>
      <c r="E507" s="148"/>
      <c r="F507" s="148"/>
      <c r="G507" s="148"/>
      <c r="H507" s="152"/>
      <c r="I507" s="153"/>
      <c r="J507" s="154"/>
      <c r="K507" s="153"/>
    </row>
    <row r="508" spans="1:11" ht="15.75" customHeight="1" x14ac:dyDescent="0.25">
      <c r="A508" s="148"/>
      <c r="B508" s="151"/>
      <c r="C508" s="151"/>
      <c r="D508" s="148"/>
      <c r="E508" s="148"/>
      <c r="F508" s="148"/>
      <c r="G508" s="148"/>
      <c r="H508" s="152"/>
      <c r="I508" s="153"/>
      <c r="J508" s="154"/>
      <c r="K508" s="153"/>
    </row>
    <row r="509" spans="1:11" ht="15.75" customHeight="1" x14ac:dyDescent="0.25">
      <c r="A509" s="148"/>
      <c r="B509" s="151"/>
      <c r="C509" s="151"/>
      <c r="D509" s="148"/>
      <c r="E509" s="148"/>
      <c r="F509" s="148"/>
      <c r="G509" s="148"/>
      <c r="H509" s="152"/>
      <c r="I509" s="153"/>
      <c r="J509" s="154"/>
      <c r="K509" s="153"/>
    </row>
    <row r="510" spans="1:11" ht="15.75" customHeight="1" x14ac:dyDescent="0.25">
      <c r="A510" s="148"/>
      <c r="B510" s="151"/>
      <c r="C510" s="151"/>
      <c r="D510" s="148"/>
      <c r="E510" s="148"/>
      <c r="F510" s="148"/>
      <c r="G510" s="148"/>
      <c r="H510" s="152"/>
      <c r="I510" s="153"/>
      <c r="J510" s="154"/>
      <c r="K510" s="153"/>
    </row>
    <row r="511" spans="1:11" ht="15.75" customHeight="1" x14ac:dyDescent="0.25">
      <c r="A511" s="148"/>
      <c r="B511" s="151"/>
      <c r="C511" s="151"/>
      <c r="D511" s="148"/>
      <c r="E511" s="148"/>
      <c r="F511" s="148"/>
      <c r="G511" s="148"/>
      <c r="H511" s="152"/>
      <c r="I511" s="153"/>
      <c r="J511" s="154"/>
      <c r="K511" s="153"/>
    </row>
    <row r="512" spans="1:11" ht="15.75" customHeight="1" x14ac:dyDescent="0.25">
      <c r="A512" s="148"/>
      <c r="B512" s="151"/>
      <c r="C512" s="151"/>
      <c r="D512" s="148"/>
      <c r="E512" s="148"/>
      <c r="F512" s="148"/>
      <c r="G512" s="148"/>
      <c r="H512" s="152"/>
      <c r="I512" s="153"/>
      <c r="J512" s="154"/>
      <c r="K512" s="153"/>
    </row>
    <row r="513" spans="1:11" ht="15.75" customHeight="1" x14ac:dyDescent="0.25">
      <c r="A513" s="148"/>
      <c r="B513" s="151"/>
      <c r="C513" s="151"/>
      <c r="D513" s="148"/>
      <c r="E513" s="148"/>
      <c r="F513" s="148"/>
      <c r="G513" s="148"/>
      <c r="H513" s="152"/>
      <c r="I513" s="153"/>
      <c r="J513" s="154"/>
      <c r="K513" s="153"/>
    </row>
    <row r="514" spans="1:11" ht="15.75" customHeight="1" x14ac:dyDescent="0.25">
      <c r="A514" s="148"/>
      <c r="B514" s="151"/>
      <c r="C514" s="151"/>
      <c r="D514" s="148"/>
      <c r="E514" s="148"/>
      <c r="F514" s="148"/>
      <c r="G514" s="148"/>
      <c r="H514" s="152"/>
      <c r="I514" s="153"/>
      <c r="J514" s="154"/>
      <c r="K514" s="153"/>
    </row>
    <row r="515" spans="1:11" ht="15.75" customHeight="1" x14ac:dyDescent="0.25">
      <c r="A515" s="148"/>
      <c r="B515" s="151"/>
      <c r="C515" s="151"/>
      <c r="D515" s="148"/>
      <c r="E515" s="148"/>
      <c r="F515" s="148"/>
      <c r="G515" s="148"/>
      <c r="H515" s="152"/>
      <c r="I515" s="153"/>
      <c r="J515" s="154"/>
      <c r="K515" s="153"/>
    </row>
    <row r="516" spans="1:11" ht="15.75" customHeight="1" x14ac:dyDescent="0.25">
      <c r="A516" s="148"/>
      <c r="B516" s="151"/>
      <c r="C516" s="151"/>
      <c r="D516" s="148"/>
      <c r="E516" s="148"/>
      <c r="F516" s="148"/>
      <c r="G516" s="148"/>
      <c r="H516" s="152"/>
      <c r="I516" s="153"/>
      <c r="J516" s="154"/>
      <c r="K516" s="153"/>
    </row>
    <row r="517" spans="1:11" ht="15.75" customHeight="1" x14ac:dyDescent="0.25">
      <c r="A517" s="148"/>
      <c r="B517" s="151"/>
      <c r="C517" s="151"/>
      <c r="D517" s="148"/>
      <c r="E517" s="148"/>
      <c r="F517" s="148"/>
      <c r="G517" s="148"/>
      <c r="H517" s="152"/>
      <c r="I517" s="153"/>
      <c r="J517" s="154"/>
      <c r="K517" s="153"/>
    </row>
    <row r="518" spans="1:11" ht="15.75" customHeight="1" x14ac:dyDescent="0.25">
      <c r="A518" s="148"/>
      <c r="B518" s="151"/>
      <c r="C518" s="151"/>
      <c r="D518" s="148"/>
      <c r="E518" s="148"/>
      <c r="F518" s="148"/>
      <c r="G518" s="148"/>
      <c r="H518" s="152"/>
      <c r="I518" s="153"/>
      <c r="J518" s="154"/>
      <c r="K518" s="153"/>
    </row>
    <row r="519" spans="1:11" ht="15.75" customHeight="1" x14ac:dyDescent="0.25">
      <c r="A519" s="148"/>
      <c r="B519" s="151"/>
      <c r="C519" s="151"/>
      <c r="D519" s="148"/>
      <c r="E519" s="148"/>
      <c r="F519" s="148"/>
      <c r="G519" s="148"/>
      <c r="H519" s="152"/>
      <c r="I519" s="153"/>
      <c r="J519" s="154"/>
      <c r="K519" s="153"/>
    </row>
    <row r="520" spans="1:11" ht="15.75" customHeight="1" x14ac:dyDescent="0.25">
      <c r="A520" s="148"/>
      <c r="B520" s="151"/>
      <c r="C520" s="151"/>
      <c r="D520" s="148"/>
      <c r="E520" s="148"/>
      <c r="F520" s="148"/>
      <c r="G520" s="148"/>
      <c r="H520" s="152"/>
      <c r="I520" s="153"/>
      <c r="J520" s="154"/>
      <c r="K520" s="153"/>
    </row>
    <row r="521" spans="1:11" ht="15.75" customHeight="1" x14ac:dyDescent="0.25">
      <c r="A521" s="148"/>
      <c r="B521" s="151"/>
      <c r="C521" s="151"/>
      <c r="D521" s="148"/>
      <c r="E521" s="148"/>
      <c r="F521" s="148"/>
      <c r="G521" s="148"/>
      <c r="H521" s="152"/>
      <c r="I521" s="153"/>
      <c r="J521" s="154"/>
      <c r="K521" s="153"/>
    </row>
    <row r="522" spans="1:11" ht="15.75" customHeight="1" x14ac:dyDescent="0.25">
      <c r="A522" s="148"/>
      <c r="B522" s="151"/>
      <c r="C522" s="151"/>
      <c r="D522" s="148"/>
      <c r="E522" s="148"/>
      <c r="F522" s="148"/>
      <c r="G522" s="148"/>
      <c r="H522" s="152"/>
      <c r="I522" s="153"/>
      <c r="J522" s="154"/>
      <c r="K522" s="153"/>
    </row>
    <row r="523" spans="1:11" ht="15.75" customHeight="1" x14ac:dyDescent="0.25">
      <c r="A523" s="148"/>
      <c r="B523" s="151"/>
      <c r="C523" s="151"/>
      <c r="D523" s="148"/>
      <c r="E523" s="148"/>
      <c r="F523" s="148"/>
      <c r="G523" s="148"/>
      <c r="H523" s="152"/>
      <c r="I523" s="153"/>
      <c r="J523" s="154"/>
      <c r="K523" s="153"/>
    </row>
    <row r="524" spans="1:11" ht="15.75" customHeight="1" x14ac:dyDescent="0.25">
      <c r="A524" s="148"/>
      <c r="B524" s="151"/>
      <c r="C524" s="151"/>
      <c r="D524" s="148"/>
      <c r="E524" s="148"/>
      <c r="F524" s="148"/>
      <c r="G524" s="148"/>
      <c r="H524" s="152"/>
      <c r="I524" s="153"/>
      <c r="J524" s="154"/>
      <c r="K524" s="153"/>
    </row>
    <row r="525" spans="1:11" ht="15.75" customHeight="1" x14ac:dyDescent="0.25">
      <c r="A525" s="148"/>
      <c r="B525" s="151"/>
      <c r="C525" s="151"/>
      <c r="D525" s="148"/>
      <c r="E525" s="148"/>
      <c r="F525" s="148"/>
      <c r="G525" s="148"/>
      <c r="H525" s="152"/>
      <c r="I525" s="153"/>
      <c r="J525" s="154"/>
      <c r="K525" s="153"/>
    </row>
    <row r="526" spans="1:11" ht="15.75" customHeight="1" x14ac:dyDescent="0.25">
      <c r="A526" s="148"/>
      <c r="B526" s="151"/>
      <c r="C526" s="151"/>
      <c r="D526" s="148"/>
      <c r="E526" s="148"/>
      <c r="F526" s="148"/>
      <c r="G526" s="148"/>
      <c r="H526" s="152"/>
      <c r="I526" s="153"/>
      <c r="J526" s="154"/>
      <c r="K526" s="153"/>
    </row>
    <row r="527" spans="1:11" ht="15.75" customHeight="1" x14ac:dyDescent="0.25">
      <c r="A527" s="148"/>
      <c r="B527" s="151"/>
      <c r="C527" s="151"/>
      <c r="D527" s="148"/>
      <c r="E527" s="148"/>
      <c r="F527" s="148"/>
      <c r="G527" s="148"/>
      <c r="H527" s="152"/>
      <c r="I527" s="153"/>
      <c r="J527" s="154"/>
      <c r="K527" s="153"/>
    </row>
    <row r="528" spans="1:11" ht="15.75" customHeight="1" x14ac:dyDescent="0.25">
      <c r="A528" s="148"/>
      <c r="B528" s="151"/>
      <c r="C528" s="151"/>
      <c r="D528" s="148"/>
      <c r="E528" s="148"/>
      <c r="F528" s="148"/>
      <c r="G528" s="148"/>
      <c r="H528" s="152"/>
      <c r="I528" s="153"/>
      <c r="J528" s="154"/>
      <c r="K528" s="153"/>
    </row>
    <row r="529" spans="1:11" ht="15.75" customHeight="1" x14ac:dyDescent="0.25">
      <c r="A529" s="148"/>
      <c r="B529" s="151"/>
      <c r="C529" s="151"/>
      <c r="D529" s="148"/>
      <c r="E529" s="148"/>
      <c r="F529" s="148"/>
      <c r="G529" s="148"/>
      <c r="H529" s="152"/>
      <c r="I529" s="153"/>
      <c r="J529" s="154"/>
      <c r="K529" s="153"/>
    </row>
    <row r="530" spans="1:11" ht="15.75" customHeight="1" x14ac:dyDescent="0.25">
      <c r="A530" s="148"/>
      <c r="B530" s="151"/>
      <c r="C530" s="151"/>
      <c r="D530" s="148"/>
      <c r="E530" s="148"/>
      <c r="F530" s="148"/>
      <c r="G530" s="148"/>
      <c r="H530" s="152"/>
      <c r="I530" s="153"/>
      <c r="J530" s="154"/>
      <c r="K530" s="153"/>
    </row>
    <row r="531" spans="1:11" ht="15.75" customHeight="1" x14ac:dyDescent="0.25">
      <c r="A531" s="148"/>
      <c r="B531" s="151"/>
      <c r="C531" s="151"/>
      <c r="D531" s="148"/>
      <c r="E531" s="148"/>
      <c r="F531" s="148"/>
      <c r="G531" s="148"/>
      <c r="H531" s="152"/>
      <c r="I531" s="153"/>
      <c r="J531" s="154"/>
      <c r="K531" s="153"/>
    </row>
    <row r="532" spans="1:11" ht="15.75" customHeight="1" x14ac:dyDescent="0.25">
      <c r="A532" s="148"/>
      <c r="B532" s="151"/>
      <c r="C532" s="151"/>
      <c r="D532" s="148"/>
      <c r="E532" s="148"/>
      <c r="F532" s="148"/>
      <c r="G532" s="148"/>
      <c r="H532" s="152"/>
      <c r="I532" s="153"/>
      <c r="J532" s="154"/>
      <c r="K532" s="153"/>
    </row>
    <row r="533" spans="1:11" ht="15.75" customHeight="1" x14ac:dyDescent="0.25">
      <c r="A533" s="148"/>
      <c r="B533" s="151"/>
      <c r="C533" s="151"/>
      <c r="D533" s="148"/>
      <c r="E533" s="148"/>
      <c r="F533" s="148"/>
      <c r="G533" s="148"/>
      <c r="H533" s="152"/>
      <c r="I533" s="153"/>
      <c r="J533" s="154"/>
      <c r="K533" s="153"/>
    </row>
    <row r="534" spans="1:11" ht="15.75" customHeight="1" x14ac:dyDescent="0.25">
      <c r="A534" s="148"/>
      <c r="B534" s="151"/>
      <c r="C534" s="151"/>
      <c r="D534" s="148"/>
      <c r="E534" s="148"/>
      <c r="F534" s="148"/>
      <c r="G534" s="148"/>
      <c r="H534" s="152"/>
      <c r="I534" s="153"/>
      <c r="J534" s="154"/>
      <c r="K534" s="153"/>
    </row>
    <row r="535" spans="1:11" ht="15.75" customHeight="1" x14ac:dyDescent="0.25">
      <c r="A535" s="148"/>
      <c r="B535" s="151"/>
      <c r="C535" s="151"/>
      <c r="D535" s="148"/>
      <c r="E535" s="148"/>
      <c r="F535" s="148"/>
      <c r="G535" s="148"/>
      <c r="H535" s="152"/>
      <c r="I535" s="153"/>
      <c r="J535" s="154"/>
      <c r="K535" s="153"/>
    </row>
    <row r="536" spans="1:11" ht="15.75" customHeight="1" x14ac:dyDescent="0.25">
      <c r="A536" s="148"/>
      <c r="B536" s="151"/>
      <c r="C536" s="151"/>
      <c r="D536" s="148"/>
      <c r="E536" s="148"/>
      <c r="F536" s="148"/>
      <c r="G536" s="148"/>
      <c r="H536" s="152"/>
      <c r="I536" s="153"/>
      <c r="J536" s="154"/>
      <c r="K536" s="153"/>
    </row>
    <row r="537" spans="1:11" ht="15.75" customHeight="1" x14ac:dyDescent="0.25">
      <c r="A537" s="148"/>
      <c r="B537" s="151"/>
      <c r="C537" s="151"/>
      <c r="D537" s="148"/>
      <c r="E537" s="148"/>
      <c r="F537" s="148"/>
      <c r="G537" s="148"/>
      <c r="H537" s="152"/>
      <c r="I537" s="153"/>
      <c r="J537" s="154"/>
      <c r="K537" s="153"/>
    </row>
    <row r="538" spans="1:11" ht="15.75" customHeight="1" x14ac:dyDescent="0.25">
      <c r="A538" s="148"/>
      <c r="B538" s="151"/>
      <c r="C538" s="151"/>
      <c r="D538" s="148"/>
      <c r="E538" s="148"/>
      <c r="F538" s="148"/>
      <c r="G538" s="148"/>
      <c r="H538" s="152"/>
      <c r="I538" s="153"/>
      <c r="J538" s="154"/>
      <c r="K538" s="153"/>
    </row>
    <row r="539" spans="1:11" ht="15.75" customHeight="1" x14ac:dyDescent="0.25">
      <c r="A539" s="148"/>
      <c r="B539" s="151"/>
      <c r="C539" s="151"/>
      <c r="D539" s="148"/>
      <c r="E539" s="148"/>
      <c r="F539" s="148"/>
      <c r="G539" s="148"/>
      <c r="H539" s="152"/>
      <c r="I539" s="153"/>
      <c r="J539" s="154"/>
      <c r="K539" s="153"/>
    </row>
    <row r="540" spans="1:11" ht="15.75" customHeight="1" x14ac:dyDescent="0.25">
      <c r="A540" s="148"/>
      <c r="B540" s="151"/>
      <c r="C540" s="151"/>
      <c r="D540" s="148"/>
      <c r="E540" s="148"/>
      <c r="F540" s="148"/>
      <c r="G540" s="148"/>
      <c r="H540" s="152"/>
      <c r="I540" s="153"/>
      <c r="J540" s="154"/>
      <c r="K540" s="153"/>
    </row>
    <row r="541" spans="1:11" ht="15.75" customHeight="1" x14ac:dyDescent="0.25">
      <c r="A541" s="148"/>
      <c r="B541" s="151"/>
      <c r="C541" s="151"/>
      <c r="D541" s="148"/>
      <c r="E541" s="148"/>
      <c r="F541" s="148"/>
      <c r="G541" s="148"/>
      <c r="H541" s="152"/>
      <c r="I541" s="153"/>
      <c r="J541" s="154"/>
      <c r="K541" s="153"/>
    </row>
    <row r="542" spans="1:11" ht="15.75" customHeight="1" x14ac:dyDescent="0.25">
      <c r="A542" s="148"/>
      <c r="B542" s="151"/>
      <c r="C542" s="151"/>
      <c r="D542" s="148"/>
      <c r="E542" s="148"/>
      <c r="F542" s="148"/>
      <c r="G542" s="148"/>
      <c r="H542" s="152"/>
      <c r="I542" s="153"/>
      <c r="J542" s="154"/>
      <c r="K542" s="153"/>
    </row>
    <row r="543" spans="1:11" ht="15.75" customHeight="1" x14ac:dyDescent="0.25">
      <c r="A543" s="148"/>
      <c r="B543" s="151"/>
      <c r="C543" s="151"/>
      <c r="D543" s="148"/>
      <c r="E543" s="148"/>
      <c r="F543" s="148"/>
      <c r="G543" s="148"/>
      <c r="H543" s="152"/>
      <c r="I543" s="153"/>
      <c r="J543" s="154"/>
      <c r="K543" s="153"/>
    </row>
    <row r="544" spans="1:11" ht="15.75" customHeight="1" x14ac:dyDescent="0.25">
      <c r="A544" s="148"/>
      <c r="B544" s="151"/>
      <c r="C544" s="151"/>
      <c r="D544" s="148"/>
      <c r="E544" s="148"/>
      <c r="F544" s="148"/>
      <c r="G544" s="148"/>
      <c r="H544" s="152"/>
      <c r="I544" s="153"/>
      <c r="J544" s="154"/>
      <c r="K544" s="153"/>
    </row>
    <row r="545" spans="1:11" ht="15.75" customHeight="1" x14ac:dyDescent="0.25">
      <c r="A545" s="148"/>
      <c r="B545" s="151"/>
      <c r="C545" s="151"/>
      <c r="D545" s="148"/>
      <c r="E545" s="148"/>
      <c r="F545" s="148"/>
      <c r="G545" s="148"/>
      <c r="H545" s="152"/>
      <c r="I545" s="153"/>
      <c r="J545" s="154"/>
      <c r="K545" s="153"/>
    </row>
    <row r="546" spans="1:11" ht="15.75" customHeight="1" x14ac:dyDescent="0.25">
      <c r="A546" s="148"/>
      <c r="B546" s="151"/>
      <c r="C546" s="151"/>
      <c r="D546" s="148"/>
      <c r="E546" s="148"/>
      <c r="F546" s="148"/>
      <c r="G546" s="148"/>
      <c r="H546" s="152"/>
      <c r="I546" s="153"/>
      <c r="J546" s="154"/>
      <c r="K546" s="153"/>
    </row>
    <row r="547" spans="1:11" ht="15.75" customHeight="1" x14ac:dyDescent="0.25">
      <c r="A547" s="148"/>
      <c r="B547" s="151"/>
      <c r="C547" s="151"/>
      <c r="D547" s="148"/>
      <c r="E547" s="148"/>
      <c r="F547" s="148"/>
      <c r="G547" s="148"/>
      <c r="H547" s="152"/>
      <c r="I547" s="153"/>
      <c r="J547" s="154"/>
      <c r="K547" s="153"/>
    </row>
    <row r="548" spans="1:11" ht="15.75" customHeight="1" x14ac:dyDescent="0.25">
      <c r="A548" s="148"/>
      <c r="B548" s="151"/>
      <c r="C548" s="151"/>
      <c r="D548" s="148"/>
      <c r="E548" s="148"/>
      <c r="F548" s="148"/>
      <c r="G548" s="148"/>
      <c r="H548" s="152"/>
      <c r="I548" s="153"/>
      <c r="J548" s="154"/>
      <c r="K548" s="153"/>
    </row>
    <row r="549" spans="1:11" ht="15.75" customHeight="1" x14ac:dyDescent="0.25">
      <c r="A549" s="148"/>
      <c r="B549" s="151"/>
      <c r="C549" s="151"/>
      <c r="D549" s="148"/>
      <c r="E549" s="148"/>
      <c r="F549" s="148"/>
      <c r="G549" s="148"/>
      <c r="H549" s="152"/>
      <c r="I549" s="153"/>
      <c r="J549" s="154"/>
      <c r="K549" s="153"/>
    </row>
    <row r="550" spans="1:11" ht="15.75" customHeight="1" x14ac:dyDescent="0.25">
      <c r="A550" s="148"/>
      <c r="B550" s="151"/>
      <c r="C550" s="151"/>
      <c r="D550" s="148"/>
      <c r="E550" s="148"/>
      <c r="F550" s="148"/>
      <c r="G550" s="148"/>
      <c r="H550" s="152"/>
      <c r="I550" s="153"/>
      <c r="J550" s="154"/>
      <c r="K550" s="153"/>
    </row>
    <row r="551" spans="1:11" ht="15.75" customHeight="1" x14ac:dyDescent="0.25">
      <c r="A551" s="148"/>
      <c r="B551" s="151"/>
      <c r="C551" s="151"/>
      <c r="D551" s="148"/>
      <c r="E551" s="148"/>
      <c r="F551" s="148"/>
      <c r="G551" s="148"/>
      <c r="H551" s="152"/>
      <c r="I551" s="153"/>
      <c r="J551" s="154"/>
      <c r="K551" s="153"/>
    </row>
    <row r="552" spans="1:11" ht="15.75" customHeight="1" x14ac:dyDescent="0.25">
      <c r="A552" s="148"/>
      <c r="B552" s="151"/>
      <c r="C552" s="151"/>
      <c r="D552" s="148"/>
      <c r="E552" s="148"/>
      <c r="F552" s="148"/>
      <c r="G552" s="148"/>
      <c r="H552" s="152"/>
      <c r="I552" s="153"/>
      <c r="J552" s="154"/>
      <c r="K552" s="153"/>
    </row>
    <row r="553" spans="1:11" ht="15.75" customHeight="1" x14ac:dyDescent="0.25">
      <c r="A553" s="148"/>
      <c r="B553" s="151"/>
      <c r="C553" s="151"/>
      <c r="D553" s="148"/>
      <c r="E553" s="148"/>
      <c r="F553" s="148"/>
      <c r="G553" s="148"/>
      <c r="H553" s="152"/>
      <c r="I553" s="153"/>
      <c r="J553" s="154"/>
      <c r="K553" s="153"/>
    </row>
    <row r="554" spans="1:11" ht="15.75" customHeight="1" x14ac:dyDescent="0.25">
      <c r="A554" s="148"/>
      <c r="B554" s="151"/>
      <c r="C554" s="151"/>
      <c r="D554" s="148"/>
      <c r="E554" s="148"/>
      <c r="F554" s="148"/>
      <c r="G554" s="148"/>
      <c r="H554" s="152"/>
      <c r="I554" s="153"/>
      <c r="J554" s="154"/>
      <c r="K554" s="153"/>
    </row>
    <row r="555" spans="1:11" ht="15.75" customHeight="1" x14ac:dyDescent="0.25">
      <c r="A555" s="148"/>
      <c r="B555" s="151"/>
      <c r="C555" s="151"/>
      <c r="D555" s="148"/>
      <c r="E555" s="148"/>
      <c r="F555" s="148"/>
      <c r="G555" s="148"/>
      <c r="H555" s="152"/>
      <c r="I555" s="153"/>
      <c r="J555" s="154"/>
      <c r="K555" s="153"/>
    </row>
    <row r="556" spans="1:11" ht="15.75" customHeight="1" x14ac:dyDescent="0.25">
      <c r="A556" s="148"/>
      <c r="B556" s="151"/>
      <c r="C556" s="151"/>
      <c r="D556" s="148"/>
      <c r="E556" s="148"/>
      <c r="F556" s="148"/>
      <c r="G556" s="148"/>
      <c r="H556" s="152"/>
      <c r="I556" s="153"/>
      <c r="J556" s="154"/>
      <c r="K556" s="153"/>
    </row>
    <row r="557" spans="1:11" ht="15.75" customHeight="1" x14ac:dyDescent="0.25">
      <c r="A557" s="148"/>
      <c r="B557" s="151"/>
      <c r="C557" s="151"/>
      <c r="D557" s="148"/>
      <c r="E557" s="148"/>
      <c r="F557" s="148"/>
      <c r="G557" s="148"/>
      <c r="H557" s="152"/>
      <c r="I557" s="153"/>
      <c r="J557" s="154"/>
      <c r="K557" s="153"/>
    </row>
    <row r="558" spans="1:11" ht="15.75" customHeight="1" x14ac:dyDescent="0.25">
      <c r="A558" s="148"/>
      <c r="B558" s="151"/>
      <c r="C558" s="151"/>
      <c r="D558" s="148"/>
      <c r="E558" s="148"/>
      <c r="F558" s="148"/>
      <c r="G558" s="148"/>
      <c r="H558" s="152"/>
      <c r="I558" s="153"/>
      <c r="J558" s="154"/>
      <c r="K558" s="153"/>
    </row>
    <row r="559" spans="1:11" ht="15.75" customHeight="1" x14ac:dyDescent="0.25">
      <c r="A559" s="148"/>
      <c r="B559" s="151"/>
      <c r="C559" s="151"/>
      <c r="D559" s="148"/>
      <c r="E559" s="148"/>
      <c r="F559" s="148"/>
      <c r="G559" s="148"/>
      <c r="H559" s="152"/>
      <c r="I559" s="153"/>
      <c r="J559" s="154"/>
      <c r="K559" s="153"/>
    </row>
    <row r="560" spans="1:11" ht="15.75" customHeight="1" x14ac:dyDescent="0.25">
      <c r="A560" s="148"/>
      <c r="B560" s="151"/>
      <c r="C560" s="151"/>
      <c r="D560" s="148"/>
      <c r="E560" s="148"/>
      <c r="F560" s="148"/>
      <c r="G560" s="148"/>
      <c r="H560" s="152"/>
      <c r="I560" s="153"/>
      <c r="J560" s="154"/>
      <c r="K560" s="153"/>
    </row>
    <row r="561" spans="1:11" ht="15.75" customHeight="1" x14ac:dyDescent="0.25">
      <c r="A561" s="148"/>
      <c r="B561" s="151"/>
      <c r="C561" s="151"/>
      <c r="D561" s="148"/>
      <c r="E561" s="148"/>
      <c r="F561" s="148"/>
      <c r="G561" s="148"/>
      <c r="H561" s="152"/>
      <c r="I561" s="153"/>
      <c r="J561" s="154"/>
      <c r="K561" s="153"/>
    </row>
    <row r="562" spans="1:11" ht="15.75" customHeight="1" x14ac:dyDescent="0.25">
      <c r="A562" s="148"/>
      <c r="B562" s="151"/>
      <c r="C562" s="151"/>
      <c r="D562" s="148"/>
      <c r="E562" s="148"/>
      <c r="F562" s="148"/>
      <c r="G562" s="148"/>
      <c r="H562" s="152"/>
      <c r="I562" s="153"/>
      <c r="J562" s="154"/>
      <c r="K562" s="153"/>
    </row>
    <row r="563" spans="1:11" ht="15.75" customHeight="1" x14ac:dyDescent="0.25">
      <c r="A563" s="148"/>
      <c r="B563" s="151"/>
      <c r="C563" s="151"/>
      <c r="D563" s="148"/>
      <c r="E563" s="148"/>
      <c r="F563" s="148"/>
      <c r="G563" s="148"/>
      <c r="H563" s="152"/>
      <c r="I563" s="153"/>
      <c r="J563" s="154"/>
      <c r="K563" s="153"/>
    </row>
    <row r="564" spans="1:11" ht="15.75" customHeight="1" x14ac:dyDescent="0.25">
      <c r="A564" s="148"/>
      <c r="B564" s="151"/>
      <c r="C564" s="151"/>
      <c r="D564" s="148"/>
      <c r="E564" s="148"/>
      <c r="F564" s="148"/>
      <c r="G564" s="148"/>
      <c r="H564" s="152"/>
      <c r="I564" s="153"/>
      <c r="J564" s="154"/>
      <c r="K564" s="153"/>
    </row>
    <row r="565" spans="1:11" ht="15.75" customHeight="1" x14ac:dyDescent="0.25">
      <c r="A565" s="148"/>
      <c r="B565" s="151"/>
      <c r="C565" s="151"/>
      <c r="D565" s="148"/>
      <c r="E565" s="148"/>
      <c r="F565" s="148"/>
      <c r="G565" s="148"/>
      <c r="H565" s="152"/>
      <c r="I565" s="153"/>
      <c r="J565" s="154"/>
      <c r="K565" s="153"/>
    </row>
    <row r="566" spans="1:11" ht="15.75" customHeight="1" x14ac:dyDescent="0.25">
      <c r="A566" s="148"/>
      <c r="B566" s="151"/>
      <c r="C566" s="151"/>
      <c r="D566" s="148"/>
      <c r="E566" s="148"/>
      <c r="F566" s="148"/>
      <c r="G566" s="148"/>
      <c r="H566" s="152"/>
      <c r="I566" s="153"/>
      <c r="J566" s="154"/>
      <c r="K566" s="153"/>
    </row>
    <row r="567" spans="1:11" ht="15.75" customHeight="1" x14ac:dyDescent="0.25">
      <c r="A567" s="148"/>
      <c r="B567" s="151"/>
      <c r="C567" s="151"/>
      <c r="D567" s="148"/>
      <c r="E567" s="148"/>
      <c r="F567" s="148"/>
      <c r="G567" s="148"/>
      <c r="H567" s="152"/>
      <c r="I567" s="153"/>
      <c r="J567" s="154"/>
      <c r="K567" s="153"/>
    </row>
    <row r="568" spans="1:11" ht="15.75" customHeight="1" x14ac:dyDescent="0.25">
      <c r="A568" s="148"/>
      <c r="B568" s="151"/>
      <c r="C568" s="151"/>
      <c r="D568" s="148"/>
      <c r="E568" s="148"/>
      <c r="F568" s="148"/>
      <c r="G568" s="148"/>
      <c r="H568" s="152"/>
      <c r="I568" s="153"/>
      <c r="J568" s="154"/>
      <c r="K568" s="153"/>
    </row>
    <row r="569" spans="1:11" ht="15.75" customHeight="1" x14ac:dyDescent="0.25">
      <c r="A569" s="148"/>
      <c r="B569" s="151"/>
      <c r="C569" s="151"/>
      <c r="D569" s="148"/>
      <c r="E569" s="148"/>
      <c r="F569" s="148"/>
      <c r="G569" s="148"/>
      <c r="H569" s="152"/>
      <c r="I569" s="153"/>
      <c r="J569" s="154"/>
      <c r="K569" s="153"/>
    </row>
    <row r="570" spans="1:11" ht="15.75" customHeight="1" x14ac:dyDescent="0.25">
      <c r="A570" s="148"/>
      <c r="B570" s="151"/>
      <c r="C570" s="151"/>
      <c r="D570" s="148"/>
      <c r="E570" s="148"/>
      <c r="F570" s="148"/>
      <c r="G570" s="148"/>
      <c r="H570" s="152"/>
      <c r="I570" s="153"/>
      <c r="J570" s="154"/>
      <c r="K570" s="153"/>
    </row>
    <row r="571" spans="1:11" ht="15.75" customHeight="1" x14ac:dyDescent="0.25">
      <c r="A571" s="148"/>
      <c r="B571" s="151"/>
      <c r="C571" s="151"/>
      <c r="D571" s="148"/>
      <c r="E571" s="148"/>
      <c r="F571" s="148"/>
      <c r="G571" s="148"/>
      <c r="H571" s="152"/>
      <c r="I571" s="153"/>
      <c r="J571" s="154"/>
      <c r="K571" s="153"/>
    </row>
    <row r="572" spans="1:11" ht="15.75" customHeight="1" x14ac:dyDescent="0.25">
      <c r="A572" s="148"/>
      <c r="B572" s="151"/>
      <c r="C572" s="151"/>
      <c r="D572" s="148"/>
      <c r="E572" s="148"/>
      <c r="F572" s="148"/>
      <c r="G572" s="148"/>
      <c r="H572" s="152"/>
      <c r="I572" s="153"/>
      <c r="J572" s="154"/>
      <c r="K572" s="153"/>
    </row>
    <row r="573" spans="1:11" ht="15.75" customHeight="1" x14ac:dyDescent="0.25">
      <c r="A573" s="148"/>
      <c r="B573" s="151"/>
      <c r="C573" s="151"/>
      <c r="D573" s="148"/>
      <c r="E573" s="148"/>
      <c r="F573" s="148"/>
      <c r="G573" s="148"/>
      <c r="H573" s="152"/>
      <c r="I573" s="153"/>
      <c r="J573" s="154"/>
      <c r="K573" s="153"/>
    </row>
    <row r="574" spans="1:11" ht="15.75" customHeight="1" x14ac:dyDescent="0.25">
      <c r="A574" s="148"/>
      <c r="B574" s="151"/>
      <c r="C574" s="151"/>
      <c r="D574" s="148"/>
      <c r="E574" s="148"/>
      <c r="F574" s="148"/>
      <c r="G574" s="148"/>
      <c r="H574" s="152"/>
      <c r="I574" s="153"/>
      <c r="J574" s="154"/>
      <c r="K574" s="153"/>
    </row>
    <row r="575" spans="1:11" ht="15.75" customHeight="1" x14ac:dyDescent="0.25">
      <c r="A575" s="148"/>
      <c r="B575" s="151"/>
      <c r="C575" s="151"/>
      <c r="D575" s="148"/>
      <c r="E575" s="148"/>
      <c r="F575" s="148"/>
      <c r="G575" s="148"/>
      <c r="H575" s="152"/>
      <c r="I575" s="153"/>
      <c r="J575" s="154"/>
      <c r="K575" s="153"/>
    </row>
    <row r="576" spans="1:11" ht="15.75" customHeight="1" x14ac:dyDescent="0.25">
      <c r="A576" s="148"/>
      <c r="B576" s="151"/>
      <c r="C576" s="151"/>
      <c r="D576" s="148"/>
      <c r="E576" s="148"/>
      <c r="F576" s="148"/>
      <c r="G576" s="148"/>
      <c r="H576" s="152"/>
      <c r="I576" s="153"/>
      <c r="J576" s="154"/>
      <c r="K576" s="153"/>
    </row>
    <row r="577" spans="1:11" ht="15.75" customHeight="1" x14ac:dyDescent="0.25">
      <c r="A577" s="148"/>
      <c r="B577" s="151"/>
      <c r="C577" s="151"/>
      <c r="D577" s="148"/>
      <c r="E577" s="148"/>
      <c r="F577" s="148"/>
      <c r="G577" s="148"/>
      <c r="H577" s="152"/>
      <c r="I577" s="153"/>
      <c r="J577" s="154"/>
      <c r="K577" s="153"/>
    </row>
    <row r="578" spans="1:11" ht="15.75" customHeight="1" x14ac:dyDescent="0.25">
      <c r="A578" s="148"/>
      <c r="B578" s="151"/>
      <c r="C578" s="151"/>
      <c r="D578" s="148"/>
      <c r="E578" s="148"/>
      <c r="F578" s="148"/>
      <c r="G578" s="148"/>
      <c r="H578" s="152"/>
      <c r="I578" s="153"/>
      <c r="J578" s="154"/>
      <c r="K578" s="153"/>
    </row>
    <row r="579" spans="1:11" ht="15.75" customHeight="1" x14ac:dyDescent="0.25">
      <c r="A579" s="148"/>
      <c r="B579" s="151"/>
      <c r="C579" s="151"/>
      <c r="D579" s="148"/>
      <c r="E579" s="148"/>
      <c r="F579" s="148"/>
      <c r="G579" s="148"/>
      <c r="H579" s="152"/>
      <c r="I579" s="153"/>
      <c r="J579" s="154"/>
      <c r="K579" s="153"/>
    </row>
    <row r="580" spans="1:11" ht="15.75" customHeight="1" x14ac:dyDescent="0.25">
      <c r="A580" s="148"/>
      <c r="B580" s="151"/>
      <c r="C580" s="151"/>
      <c r="D580" s="148"/>
      <c r="E580" s="148"/>
      <c r="F580" s="148"/>
      <c r="G580" s="148"/>
      <c r="H580" s="152"/>
      <c r="I580" s="153"/>
      <c r="J580" s="154"/>
      <c r="K580" s="153"/>
    </row>
    <row r="581" spans="1:11" ht="15.75" customHeight="1" x14ac:dyDescent="0.25">
      <c r="A581" s="148"/>
      <c r="B581" s="151"/>
      <c r="C581" s="151"/>
      <c r="D581" s="148"/>
      <c r="E581" s="148"/>
      <c r="F581" s="148"/>
      <c r="G581" s="148"/>
      <c r="H581" s="152"/>
      <c r="I581" s="153"/>
      <c r="J581" s="154"/>
      <c r="K581" s="153"/>
    </row>
    <row r="582" spans="1:11" ht="15.75" customHeight="1" x14ac:dyDescent="0.25">
      <c r="A582" s="148"/>
      <c r="B582" s="151"/>
      <c r="C582" s="151"/>
      <c r="D582" s="148"/>
      <c r="E582" s="148"/>
      <c r="F582" s="148"/>
      <c r="G582" s="148"/>
      <c r="H582" s="152"/>
      <c r="I582" s="153"/>
      <c r="J582" s="154"/>
      <c r="K582" s="153"/>
    </row>
    <row r="583" spans="1:11" ht="15.75" customHeight="1" x14ac:dyDescent="0.25">
      <c r="A583" s="148"/>
      <c r="B583" s="151"/>
      <c r="C583" s="151"/>
      <c r="D583" s="148"/>
      <c r="E583" s="148"/>
      <c r="F583" s="148"/>
      <c r="G583" s="148"/>
      <c r="H583" s="152"/>
      <c r="I583" s="153"/>
      <c r="J583" s="154"/>
      <c r="K583" s="153"/>
    </row>
    <row r="584" spans="1:11" ht="15.75" customHeight="1" x14ac:dyDescent="0.25">
      <c r="A584" s="148"/>
      <c r="B584" s="151"/>
      <c r="C584" s="151"/>
      <c r="D584" s="148"/>
      <c r="E584" s="148"/>
      <c r="F584" s="148"/>
      <c r="G584" s="148"/>
      <c r="H584" s="152"/>
      <c r="I584" s="153"/>
      <c r="J584" s="154"/>
      <c r="K584" s="153"/>
    </row>
    <row r="585" spans="1:11" ht="15.75" customHeight="1" x14ac:dyDescent="0.25">
      <c r="A585" s="148"/>
      <c r="B585" s="151"/>
      <c r="C585" s="151"/>
      <c r="D585" s="148"/>
      <c r="E585" s="148"/>
      <c r="F585" s="148"/>
      <c r="G585" s="148"/>
      <c r="H585" s="152"/>
      <c r="I585" s="153"/>
      <c r="J585" s="154"/>
      <c r="K585" s="153"/>
    </row>
    <row r="586" spans="1:11" ht="15.75" customHeight="1" x14ac:dyDescent="0.25">
      <c r="A586" s="148"/>
      <c r="B586" s="151"/>
      <c r="C586" s="151"/>
      <c r="D586" s="148"/>
      <c r="E586" s="148"/>
      <c r="F586" s="148"/>
      <c r="G586" s="148"/>
      <c r="H586" s="152"/>
      <c r="I586" s="153"/>
      <c r="J586" s="154"/>
      <c r="K586" s="153"/>
    </row>
    <row r="587" spans="1:11" ht="15.75" customHeight="1" x14ac:dyDescent="0.25">
      <c r="A587" s="148"/>
      <c r="B587" s="151"/>
      <c r="C587" s="151"/>
      <c r="D587" s="148"/>
      <c r="E587" s="148"/>
      <c r="F587" s="148"/>
      <c r="G587" s="148"/>
      <c r="H587" s="152"/>
      <c r="I587" s="153"/>
      <c r="J587" s="154"/>
      <c r="K587" s="153"/>
    </row>
    <row r="588" spans="1:11" ht="15.75" customHeight="1" x14ac:dyDescent="0.25">
      <c r="A588" s="148"/>
      <c r="B588" s="151"/>
      <c r="C588" s="151"/>
      <c r="D588" s="148"/>
      <c r="E588" s="148"/>
      <c r="F588" s="148"/>
      <c r="G588" s="148"/>
      <c r="H588" s="152"/>
      <c r="I588" s="153"/>
      <c r="J588" s="154"/>
      <c r="K588" s="153"/>
    </row>
    <row r="589" spans="1:11" ht="15.75" customHeight="1" x14ac:dyDescent="0.25">
      <c r="A589" s="148"/>
      <c r="B589" s="151"/>
      <c r="C589" s="151"/>
      <c r="D589" s="148"/>
      <c r="E589" s="148"/>
      <c r="F589" s="148"/>
      <c r="G589" s="148"/>
      <c r="H589" s="152"/>
      <c r="I589" s="153"/>
      <c r="J589" s="154"/>
      <c r="K589" s="153"/>
    </row>
    <row r="590" spans="1:11" ht="15.75" customHeight="1" x14ac:dyDescent="0.25">
      <c r="A590" s="148"/>
      <c r="B590" s="151"/>
      <c r="C590" s="151"/>
      <c r="D590" s="148"/>
      <c r="E590" s="148"/>
      <c r="F590" s="148"/>
      <c r="G590" s="148"/>
      <c r="H590" s="152"/>
      <c r="I590" s="153"/>
      <c r="J590" s="154"/>
      <c r="K590" s="153"/>
    </row>
    <row r="591" spans="1:11" ht="15.75" customHeight="1" x14ac:dyDescent="0.25">
      <c r="A591" s="148"/>
      <c r="B591" s="151"/>
      <c r="C591" s="151"/>
      <c r="D591" s="148"/>
      <c r="E591" s="148"/>
      <c r="F591" s="148"/>
      <c r="G591" s="148"/>
      <c r="H591" s="152"/>
      <c r="I591" s="153"/>
      <c r="J591" s="154"/>
      <c r="K591" s="153"/>
    </row>
    <row r="592" spans="1:11" ht="15.75" customHeight="1" x14ac:dyDescent="0.25">
      <c r="A592" s="148"/>
      <c r="B592" s="151"/>
      <c r="C592" s="151"/>
      <c r="D592" s="148"/>
      <c r="E592" s="148"/>
      <c r="F592" s="148"/>
      <c r="G592" s="148"/>
      <c r="H592" s="152"/>
      <c r="I592" s="153"/>
      <c r="J592" s="154"/>
      <c r="K592" s="153"/>
    </row>
    <row r="593" spans="1:11" ht="15.75" customHeight="1" x14ac:dyDescent="0.25">
      <c r="A593" s="148"/>
      <c r="B593" s="151"/>
      <c r="C593" s="151"/>
      <c r="D593" s="148"/>
      <c r="E593" s="148"/>
      <c r="F593" s="148"/>
      <c r="G593" s="148"/>
      <c r="H593" s="152"/>
      <c r="I593" s="153"/>
      <c r="J593" s="154"/>
      <c r="K593" s="153"/>
    </row>
    <row r="594" spans="1:11" ht="15.75" customHeight="1" x14ac:dyDescent="0.25">
      <c r="A594" s="148"/>
      <c r="B594" s="151"/>
      <c r="C594" s="151"/>
      <c r="D594" s="148"/>
      <c r="E594" s="148"/>
      <c r="F594" s="148"/>
      <c r="G594" s="148"/>
      <c r="H594" s="152"/>
      <c r="I594" s="153"/>
      <c r="J594" s="154"/>
      <c r="K594" s="153"/>
    </row>
    <row r="595" spans="1:11" ht="15.75" customHeight="1" x14ac:dyDescent="0.25">
      <c r="A595" s="148"/>
      <c r="B595" s="151"/>
      <c r="C595" s="151"/>
      <c r="D595" s="148"/>
      <c r="E595" s="148"/>
      <c r="F595" s="148"/>
      <c r="G595" s="148"/>
      <c r="H595" s="152"/>
      <c r="I595" s="153"/>
      <c r="J595" s="154"/>
      <c r="K595" s="153"/>
    </row>
    <row r="596" spans="1:11" ht="15.75" customHeight="1" x14ac:dyDescent="0.25">
      <c r="A596" s="148"/>
      <c r="B596" s="151"/>
      <c r="C596" s="151"/>
      <c r="D596" s="148"/>
      <c r="E596" s="148"/>
      <c r="F596" s="148"/>
      <c r="G596" s="148"/>
      <c r="H596" s="152"/>
      <c r="I596" s="153"/>
      <c r="J596" s="154"/>
      <c r="K596" s="153"/>
    </row>
    <row r="597" spans="1:11" ht="15.75" customHeight="1" x14ac:dyDescent="0.25">
      <c r="A597" s="148"/>
      <c r="B597" s="151"/>
      <c r="C597" s="151"/>
      <c r="D597" s="148"/>
      <c r="E597" s="148"/>
      <c r="F597" s="148"/>
      <c r="G597" s="148"/>
      <c r="H597" s="152"/>
      <c r="I597" s="153"/>
      <c r="J597" s="154"/>
      <c r="K597" s="153"/>
    </row>
    <row r="598" spans="1:11" ht="15.75" customHeight="1" x14ac:dyDescent="0.25">
      <c r="A598" s="148"/>
      <c r="B598" s="151"/>
      <c r="C598" s="151"/>
      <c r="D598" s="148"/>
      <c r="E598" s="148"/>
      <c r="F598" s="148"/>
      <c r="G598" s="148"/>
      <c r="H598" s="152"/>
      <c r="I598" s="153"/>
      <c r="J598" s="154"/>
      <c r="K598" s="153"/>
    </row>
    <row r="599" spans="1:11" ht="15.75" customHeight="1" x14ac:dyDescent="0.25">
      <c r="A599" s="148"/>
      <c r="B599" s="151"/>
      <c r="C599" s="151"/>
      <c r="D599" s="148"/>
      <c r="E599" s="148"/>
      <c r="F599" s="148"/>
      <c r="G599" s="148"/>
      <c r="H599" s="152"/>
      <c r="I599" s="153"/>
      <c r="J599" s="154"/>
      <c r="K599" s="153"/>
    </row>
    <row r="600" spans="1:11" ht="15.75" customHeight="1" x14ac:dyDescent="0.25">
      <c r="A600" s="148"/>
      <c r="B600" s="151"/>
      <c r="C600" s="151"/>
      <c r="D600" s="148"/>
      <c r="E600" s="148"/>
      <c r="F600" s="148"/>
      <c r="G600" s="148"/>
      <c r="H600" s="152"/>
      <c r="I600" s="153"/>
      <c r="J600" s="154"/>
      <c r="K600" s="153"/>
    </row>
    <row r="601" spans="1:11" ht="15.75" customHeight="1" x14ac:dyDescent="0.25">
      <c r="A601" s="148"/>
      <c r="B601" s="151"/>
      <c r="C601" s="151"/>
      <c r="D601" s="148"/>
      <c r="E601" s="148"/>
      <c r="F601" s="148"/>
      <c r="G601" s="148"/>
      <c r="H601" s="152"/>
      <c r="I601" s="153"/>
      <c r="J601" s="154"/>
      <c r="K601" s="153"/>
    </row>
    <row r="602" spans="1:11" ht="15.75" customHeight="1" x14ac:dyDescent="0.25">
      <c r="A602" s="148"/>
      <c r="B602" s="151"/>
      <c r="C602" s="151"/>
      <c r="D602" s="148"/>
      <c r="E602" s="148"/>
      <c r="F602" s="148"/>
      <c r="G602" s="148"/>
      <c r="H602" s="152"/>
      <c r="I602" s="153"/>
      <c r="J602" s="154"/>
      <c r="K602" s="153"/>
    </row>
    <row r="603" spans="1:11" ht="15.75" customHeight="1" x14ac:dyDescent="0.25">
      <c r="A603" s="148"/>
      <c r="B603" s="151"/>
      <c r="C603" s="151"/>
      <c r="D603" s="148"/>
      <c r="E603" s="148"/>
      <c r="F603" s="148"/>
      <c r="G603" s="148"/>
      <c r="H603" s="152"/>
      <c r="I603" s="153"/>
      <c r="J603" s="154"/>
      <c r="K603" s="153"/>
    </row>
    <row r="604" spans="1:11" ht="15.75" customHeight="1" x14ac:dyDescent="0.25">
      <c r="A604" s="148"/>
      <c r="B604" s="151"/>
      <c r="C604" s="151"/>
      <c r="D604" s="148"/>
      <c r="E604" s="148"/>
      <c r="F604" s="148"/>
      <c r="G604" s="148"/>
      <c r="H604" s="152"/>
      <c r="I604" s="153"/>
      <c r="J604" s="154"/>
      <c r="K604" s="153"/>
    </row>
    <row r="605" spans="1:11" ht="15.75" customHeight="1" x14ac:dyDescent="0.25">
      <c r="A605" s="148"/>
      <c r="B605" s="151"/>
      <c r="C605" s="151"/>
      <c r="D605" s="148"/>
      <c r="E605" s="148"/>
      <c r="F605" s="148"/>
      <c r="G605" s="148"/>
      <c r="H605" s="152"/>
      <c r="I605" s="153"/>
      <c r="J605" s="154"/>
      <c r="K605" s="153"/>
    </row>
    <row r="606" spans="1:11" ht="15.75" customHeight="1" x14ac:dyDescent="0.25">
      <c r="A606" s="148"/>
      <c r="B606" s="151"/>
      <c r="C606" s="151"/>
      <c r="D606" s="148"/>
      <c r="E606" s="148"/>
      <c r="F606" s="148"/>
      <c r="G606" s="148"/>
      <c r="H606" s="152"/>
      <c r="I606" s="153"/>
      <c r="J606" s="154"/>
      <c r="K606" s="153"/>
    </row>
    <row r="607" spans="1:11" ht="15.75" customHeight="1" x14ac:dyDescent="0.25">
      <c r="A607" s="148"/>
      <c r="B607" s="151"/>
      <c r="C607" s="151"/>
      <c r="D607" s="148"/>
      <c r="E607" s="148"/>
      <c r="F607" s="148"/>
      <c r="G607" s="148"/>
      <c r="H607" s="152"/>
      <c r="I607" s="153"/>
      <c r="J607" s="154"/>
      <c r="K607" s="153"/>
    </row>
    <row r="608" spans="1:11" ht="15.75" customHeight="1" x14ac:dyDescent="0.25">
      <c r="A608" s="148"/>
      <c r="B608" s="151"/>
      <c r="C608" s="151"/>
      <c r="D608" s="148"/>
      <c r="E608" s="148"/>
      <c r="F608" s="148"/>
      <c r="G608" s="148"/>
      <c r="H608" s="152"/>
      <c r="I608" s="153"/>
      <c r="J608" s="154"/>
      <c r="K608" s="153"/>
    </row>
    <row r="609" spans="1:11" ht="15.75" customHeight="1" x14ac:dyDescent="0.25">
      <c r="A609" s="148"/>
      <c r="B609" s="151"/>
      <c r="C609" s="151"/>
      <c r="D609" s="148"/>
      <c r="E609" s="148"/>
      <c r="F609" s="148"/>
      <c r="G609" s="148"/>
      <c r="H609" s="152"/>
      <c r="I609" s="153"/>
      <c r="J609" s="154"/>
      <c r="K609" s="153"/>
    </row>
    <row r="610" spans="1:11" ht="15.75" customHeight="1" x14ac:dyDescent="0.25">
      <c r="A610" s="148"/>
      <c r="B610" s="151"/>
      <c r="C610" s="151"/>
      <c r="D610" s="148"/>
      <c r="E610" s="148"/>
      <c r="F610" s="148"/>
      <c r="G610" s="148"/>
      <c r="H610" s="152"/>
      <c r="I610" s="153"/>
      <c r="J610" s="154"/>
      <c r="K610" s="153"/>
    </row>
    <row r="611" spans="1:11" ht="15.75" customHeight="1" x14ac:dyDescent="0.25">
      <c r="A611" s="148"/>
      <c r="B611" s="151"/>
      <c r="C611" s="151"/>
      <c r="D611" s="148"/>
      <c r="E611" s="148"/>
      <c r="F611" s="148"/>
      <c r="G611" s="148"/>
      <c r="H611" s="152"/>
      <c r="I611" s="153"/>
      <c r="J611" s="154"/>
      <c r="K611" s="153"/>
    </row>
    <row r="612" spans="1:11" ht="15.75" customHeight="1" x14ac:dyDescent="0.25">
      <c r="A612" s="148"/>
      <c r="B612" s="151"/>
      <c r="C612" s="151"/>
      <c r="D612" s="148"/>
      <c r="E612" s="148"/>
      <c r="F612" s="148"/>
      <c r="G612" s="148"/>
      <c r="H612" s="152"/>
      <c r="I612" s="153"/>
      <c r="J612" s="154"/>
      <c r="K612" s="153"/>
    </row>
    <row r="613" spans="1:11" ht="15.75" customHeight="1" x14ac:dyDescent="0.25">
      <c r="A613" s="148"/>
      <c r="B613" s="151"/>
      <c r="C613" s="151"/>
      <c r="D613" s="148"/>
      <c r="E613" s="148"/>
      <c r="F613" s="148"/>
      <c r="G613" s="148"/>
      <c r="H613" s="152"/>
      <c r="I613" s="153"/>
      <c r="J613" s="154"/>
      <c r="K613" s="153"/>
    </row>
    <row r="614" spans="1:11" ht="15.75" customHeight="1" x14ac:dyDescent="0.25">
      <c r="A614" s="148"/>
      <c r="B614" s="151"/>
      <c r="C614" s="151"/>
      <c r="D614" s="148"/>
      <c r="E614" s="148"/>
      <c r="F614" s="148"/>
      <c r="G614" s="148"/>
      <c r="H614" s="152"/>
      <c r="I614" s="153"/>
      <c r="J614" s="154"/>
      <c r="K614" s="153"/>
    </row>
    <row r="615" spans="1:11" ht="15.75" customHeight="1" x14ac:dyDescent="0.25">
      <c r="A615" s="148"/>
      <c r="B615" s="151"/>
      <c r="C615" s="151"/>
      <c r="D615" s="148"/>
      <c r="E615" s="148"/>
      <c r="F615" s="148"/>
      <c r="G615" s="148"/>
      <c r="H615" s="152"/>
      <c r="I615" s="153"/>
      <c r="J615" s="154"/>
      <c r="K615" s="153"/>
    </row>
    <row r="616" spans="1:11" ht="15.75" customHeight="1" x14ac:dyDescent="0.25">
      <c r="A616" s="148"/>
      <c r="B616" s="151"/>
      <c r="C616" s="151"/>
      <c r="D616" s="148"/>
      <c r="E616" s="148"/>
      <c r="F616" s="148"/>
      <c r="G616" s="148"/>
      <c r="H616" s="152"/>
      <c r="I616" s="153"/>
      <c r="J616" s="154"/>
      <c r="K616" s="153"/>
    </row>
    <row r="617" spans="1:11" ht="15.75" customHeight="1" x14ac:dyDescent="0.25">
      <c r="A617" s="148"/>
      <c r="B617" s="151"/>
      <c r="C617" s="151"/>
      <c r="D617" s="148"/>
      <c r="E617" s="148"/>
      <c r="F617" s="148"/>
      <c r="G617" s="148"/>
      <c r="H617" s="152"/>
      <c r="I617" s="153"/>
      <c r="J617" s="154"/>
      <c r="K617" s="153"/>
    </row>
    <row r="618" spans="1:11" ht="15.75" customHeight="1" x14ac:dyDescent="0.25">
      <c r="A618" s="148"/>
      <c r="B618" s="151"/>
      <c r="C618" s="151"/>
      <c r="D618" s="148"/>
      <c r="E618" s="148"/>
      <c r="F618" s="148"/>
      <c r="G618" s="148"/>
      <c r="H618" s="152"/>
      <c r="I618" s="153"/>
      <c r="J618" s="154"/>
      <c r="K618" s="153"/>
    </row>
    <row r="619" spans="1:11" ht="15.75" customHeight="1" x14ac:dyDescent="0.25">
      <c r="A619" s="148"/>
      <c r="B619" s="151"/>
      <c r="C619" s="151"/>
      <c r="D619" s="148"/>
      <c r="E619" s="148"/>
      <c r="F619" s="148"/>
      <c r="G619" s="148"/>
      <c r="H619" s="152"/>
      <c r="I619" s="153"/>
      <c r="J619" s="154"/>
      <c r="K619" s="153"/>
    </row>
    <row r="620" spans="1:11" ht="15.75" customHeight="1" x14ac:dyDescent="0.25">
      <c r="A620" s="148"/>
      <c r="B620" s="151"/>
      <c r="C620" s="151"/>
      <c r="D620" s="148"/>
      <c r="E620" s="148"/>
      <c r="F620" s="148"/>
      <c r="G620" s="148"/>
      <c r="H620" s="152"/>
      <c r="I620" s="153"/>
      <c r="J620" s="154"/>
      <c r="K620" s="153"/>
    </row>
    <row r="621" spans="1:11" ht="15.75" customHeight="1" x14ac:dyDescent="0.25">
      <c r="A621" s="148"/>
      <c r="B621" s="151"/>
      <c r="C621" s="151"/>
      <c r="D621" s="148"/>
      <c r="E621" s="148"/>
      <c r="F621" s="148"/>
      <c r="G621" s="148"/>
      <c r="H621" s="152"/>
      <c r="I621" s="153"/>
      <c r="J621" s="154"/>
      <c r="K621" s="153"/>
    </row>
    <row r="622" spans="1:11" ht="15.75" customHeight="1" x14ac:dyDescent="0.25">
      <c r="A622" s="148"/>
      <c r="B622" s="151"/>
      <c r="C622" s="151"/>
      <c r="D622" s="148"/>
      <c r="E622" s="148"/>
      <c r="F622" s="148"/>
      <c r="G622" s="148"/>
      <c r="H622" s="152"/>
      <c r="I622" s="153"/>
      <c r="J622" s="154"/>
      <c r="K622" s="153"/>
    </row>
    <row r="623" spans="1:11" ht="15.75" customHeight="1" x14ac:dyDescent="0.25">
      <c r="A623" s="148"/>
      <c r="B623" s="151"/>
      <c r="C623" s="151"/>
      <c r="D623" s="148"/>
      <c r="E623" s="148"/>
      <c r="F623" s="148"/>
      <c r="G623" s="148"/>
      <c r="H623" s="152"/>
      <c r="I623" s="153"/>
      <c r="J623" s="154"/>
      <c r="K623" s="153"/>
    </row>
    <row r="624" spans="1:11" ht="15.75" customHeight="1" x14ac:dyDescent="0.25">
      <c r="A624" s="148"/>
      <c r="B624" s="151"/>
      <c r="C624" s="151"/>
      <c r="D624" s="148"/>
      <c r="E624" s="148"/>
      <c r="F624" s="148"/>
      <c r="G624" s="148"/>
      <c r="H624" s="152"/>
      <c r="I624" s="153"/>
      <c r="J624" s="154"/>
      <c r="K624" s="153"/>
    </row>
    <row r="625" spans="1:11" ht="15.75" customHeight="1" x14ac:dyDescent="0.25">
      <c r="A625" s="148"/>
      <c r="B625" s="151"/>
      <c r="C625" s="151"/>
      <c r="D625" s="148"/>
      <c r="E625" s="148"/>
      <c r="F625" s="148"/>
      <c r="G625" s="148"/>
      <c r="H625" s="152"/>
      <c r="I625" s="153"/>
      <c r="J625" s="154"/>
      <c r="K625" s="153"/>
    </row>
    <row r="626" spans="1:11" ht="15.75" customHeight="1" x14ac:dyDescent="0.25">
      <c r="A626" s="148"/>
      <c r="B626" s="151"/>
      <c r="C626" s="151"/>
      <c r="D626" s="148"/>
      <c r="E626" s="148"/>
      <c r="F626" s="148"/>
      <c r="G626" s="148"/>
      <c r="H626" s="152"/>
      <c r="I626" s="153"/>
      <c r="J626" s="154"/>
      <c r="K626" s="153"/>
    </row>
    <row r="627" spans="1:11" ht="15.75" customHeight="1" x14ac:dyDescent="0.25">
      <c r="A627" s="148"/>
      <c r="B627" s="151"/>
      <c r="C627" s="151"/>
      <c r="D627" s="148"/>
      <c r="E627" s="148"/>
      <c r="F627" s="148"/>
      <c r="G627" s="148"/>
      <c r="H627" s="152"/>
      <c r="I627" s="153"/>
      <c r="J627" s="154"/>
      <c r="K627" s="153"/>
    </row>
    <row r="628" spans="1:11" ht="15.75" customHeight="1" x14ac:dyDescent="0.25">
      <c r="A628" s="148"/>
      <c r="B628" s="151"/>
      <c r="C628" s="151"/>
      <c r="D628" s="148"/>
      <c r="E628" s="148"/>
      <c r="F628" s="148"/>
      <c r="G628" s="148"/>
      <c r="H628" s="152"/>
      <c r="I628" s="153"/>
      <c r="J628" s="154"/>
      <c r="K628" s="153"/>
    </row>
    <row r="629" spans="1:11" ht="15.75" customHeight="1" x14ac:dyDescent="0.25">
      <c r="A629" s="148"/>
      <c r="B629" s="151"/>
      <c r="C629" s="151"/>
      <c r="D629" s="148"/>
      <c r="E629" s="148"/>
      <c r="F629" s="148"/>
      <c r="G629" s="148"/>
      <c r="H629" s="152"/>
      <c r="I629" s="153"/>
      <c r="J629" s="154"/>
      <c r="K629" s="153"/>
    </row>
    <row r="630" spans="1:11" ht="15.75" customHeight="1" x14ac:dyDescent="0.25">
      <c r="A630" s="148"/>
      <c r="B630" s="151"/>
      <c r="C630" s="151"/>
      <c r="D630" s="148"/>
      <c r="E630" s="148"/>
      <c r="F630" s="148"/>
      <c r="G630" s="148"/>
      <c r="H630" s="152"/>
      <c r="I630" s="153"/>
      <c r="J630" s="154"/>
      <c r="K630" s="153"/>
    </row>
    <row r="631" spans="1:11" ht="15.75" customHeight="1" x14ac:dyDescent="0.25">
      <c r="A631" s="148"/>
      <c r="B631" s="151"/>
      <c r="C631" s="151"/>
      <c r="D631" s="148"/>
      <c r="E631" s="148"/>
      <c r="F631" s="148"/>
      <c r="G631" s="148"/>
      <c r="H631" s="152"/>
      <c r="I631" s="153"/>
      <c r="J631" s="154"/>
      <c r="K631" s="153"/>
    </row>
    <row r="632" spans="1:11" ht="15.75" customHeight="1" x14ac:dyDescent="0.25">
      <c r="A632" s="148"/>
      <c r="B632" s="151"/>
      <c r="C632" s="151"/>
      <c r="D632" s="148"/>
      <c r="E632" s="148"/>
      <c r="F632" s="148"/>
      <c r="G632" s="148"/>
      <c r="H632" s="152"/>
      <c r="I632" s="153"/>
      <c r="J632" s="154"/>
      <c r="K632" s="153"/>
    </row>
    <row r="633" spans="1:11" ht="15.75" customHeight="1" x14ac:dyDescent="0.25">
      <c r="A633" s="148"/>
      <c r="B633" s="151"/>
      <c r="C633" s="151"/>
      <c r="D633" s="148"/>
      <c r="E633" s="148"/>
      <c r="F633" s="148"/>
      <c r="G633" s="148"/>
      <c r="H633" s="152"/>
      <c r="I633" s="153"/>
      <c r="J633" s="154"/>
      <c r="K633" s="153"/>
    </row>
    <row r="634" spans="1:11" ht="15.75" customHeight="1" x14ac:dyDescent="0.25">
      <c r="A634" s="148"/>
      <c r="B634" s="151"/>
      <c r="C634" s="151"/>
      <c r="D634" s="148"/>
      <c r="E634" s="148"/>
      <c r="F634" s="148"/>
      <c r="G634" s="148"/>
      <c r="H634" s="152"/>
      <c r="I634" s="153"/>
      <c r="J634" s="154"/>
      <c r="K634" s="153"/>
    </row>
    <row r="635" spans="1:11" ht="15.75" customHeight="1" x14ac:dyDescent="0.25">
      <c r="A635" s="148"/>
      <c r="B635" s="151"/>
      <c r="C635" s="151"/>
      <c r="D635" s="148"/>
      <c r="E635" s="148"/>
      <c r="F635" s="148"/>
      <c r="G635" s="148"/>
      <c r="H635" s="152"/>
      <c r="I635" s="153"/>
      <c r="J635" s="154"/>
      <c r="K635" s="153"/>
    </row>
    <row r="636" spans="1:11" ht="15.75" customHeight="1" x14ac:dyDescent="0.25">
      <c r="A636" s="148"/>
      <c r="B636" s="151"/>
      <c r="C636" s="151"/>
      <c r="D636" s="148"/>
      <c r="E636" s="148"/>
      <c r="F636" s="148"/>
      <c r="G636" s="148"/>
      <c r="H636" s="152"/>
      <c r="I636" s="153"/>
      <c r="J636" s="154"/>
      <c r="K636" s="153"/>
    </row>
    <row r="637" spans="1:11" ht="15.75" customHeight="1" x14ac:dyDescent="0.25">
      <c r="A637" s="148"/>
      <c r="B637" s="151"/>
      <c r="C637" s="151"/>
      <c r="D637" s="148"/>
      <c r="E637" s="148"/>
      <c r="F637" s="148"/>
      <c r="G637" s="148"/>
      <c r="H637" s="152"/>
      <c r="I637" s="153"/>
      <c r="J637" s="154"/>
      <c r="K637" s="153"/>
    </row>
    <row r="638" spans="1:11" ht="15.75" customHeight="1" x14ac:dyDescent="0.25">
      <c r="A638" s="148"/>
      <c r="B638" s="151"/>
      <c r="C638" s="151"/>
      <c r="D638" s="148"/>
      <c r="E638" s="148"/>
      <c r="F638" s="148"/>
      <c r="G638" s="148"/>
      <c r="H638" s="152"/>
      <c r="I638" s="153"/>
      <c r="J638" s="154"/>
      <c r="K638" s="153"/>
    </row>
    <row r="639" spans="1:11" ht="15.75" customHeight="1" x14ac:dyDescent="0.25">
      <c r="A639" s="148"/>
      <c r="B639" s="151"/>
      <c r="C639" s="151"/>
      <c r="D639" s="148"/>
      <c r="E639" s="148"/>
      <c r="F639" s="148"/>
      <c r="G639" s="148"/>
      <c r="H639" s="152"/>
      <c r="I639" s="153"/>
      <c r="J639" s="154"/>
      <c r="K639" s="153"/>
    </row>
    <row r="640" spans="1:11" ht="15.75" customHeight="1" x14ac:dyDescent="0.25">
      <c r="A640" s="148"/>
      <c r="B640" s="151"/>
      <c r="C640" s="151"/>
      <c r="D640" s="148"/>
      <c r="E640" s="148"/>
      <c r="F640" s="148"/>
      <c r="G640" s="148"/>
      <c r="H640" s="152"/>
      <c r="I640" s="153"/>
      <c r="J640" s="154"/>
      <c r="K640" s="153"/>
    </row>
    <row r="641" spans="1:11" ht="15.75" customHeight="1" x14ac:dyDescent="0.25">
      <c r="A641" s="148"/>
      <c r="B641" s="151"/>
      <c r="C641" s="151"/>
      <c r="D641" s="148"/>
      <c r="E641" s="148"/>
      <c r="F641" s="148"/>
      <c r="G641" s="148"/>
      <c r="H641" s="152"/>
      <c r="I641" s="153"/>
      <c r="J641" s="154"/>
      <c r="K641" s="153"/>
    </row>
    <row r="642" spans="1:11" ht="15.75" customHeight="1" x14ac:dyDescent="0.25">
      <c r="A642" s="148"/>
      <c r="B642" s="151"/>
      <c r="C642" s="151"/>
      <c r="D642" s="148"/>
      <c r="E642" s="148"/>
      <c r="F642" s="148"/>
      <c r="G642" s="148"/>
      <c r="H642" s="152"/>
      <c r="I642" s="153"/>
      <c r="J642" s="154"/>
      <c r="K642" s="153"/>
    </row>
    <row r="643" spans="1:11" ht="15.75" customHeight="1" x14ac:dyDescent="0.25">
      <c r="A643" s="148"/>
      <c r="B643" s="151"/>
      <c r="C643" s="151"/>
      <c r="D643" s="148"/>
      <c r="E643" s="148"/>
      <c r="F643" s="148"/>
      <c r="G643" s="148"/>
      <c r="H643" s="152"/>
      <c r="I643" s="153"/>
      <c r="J643" s="154"/>
      <c r="K643" s="153"/>
    </row>
    <row r="644" spans="1:11" ht="15.75" customHeight="1" x14ac:dyDescent="0.25">
      <c r="A644" s="148"/>
      <c r="B644" s="151"/>
      <c r="C644" s="151"/>
      <c r="D644" s="148"/>
      <c r="E644" s="148"/>
      <c r="F644" s="148"/>
      <c r="G644" s="148"/>
      <c r="H644" s="152"/>
      <c r="I644" s="153"/>
      <c r="J644" s="154"/>
      <c r="K644" s="153"/>
    </row>
    <row r="645" spans="1:11" ht="15.75" customHeight="1" x14ac:dyDescent="0.25">
      <c r="A645" s="148"/>
      <c r="B645" s="151"/>
      <c r="C645" s="151"/>
      <c r="D645" s="148"/>
      <c r="E645" s="148"/>
      <c r="F645" s="148"/>
      <c r="G645" s="148"/>
      <c r="H645" s="152"/>
      <c r="I645" s="153"/>
      <c r="J645" s="154"/>
      <c r="K645" s="153"/>
    </row>
    <row r="646" spans="1:11" ht="15.75" customHeight="1" x14ac:dyDescent="0.25">
      <c r="A646" s="148"/>
      <c r="B646" s="151"/>
      <c r="C646" s="151"/>
      <c r="D646" s="148"/>
      <c r="E646" s="148"/>
      <c r="F646" s="148"/>
      <c r="G646" s="148"/>
      <c r="H646" s="152"/>
      <c r="I646" s="153"/>
      <c r="J646" s="154"/>
      <c r="K646" s="153"/>
    </row>
    <row r="647" spans="1:11" ht="15.75" customHeight="1" x14ac:dyDescent="0.25">
      <c r="A647" s="148"/>
      <c r="B647" s="151"/>
      <c r="C647" s="151"/>
      <c r="D647" s="148"/>
      <c r="E647" s="148"/>
      <c r="F647" s="148"/>
      <c r="G647" s="148"/>
      <c r="H647" s="152"/>
      <c r="I647" s="153"/>
      <c r="J647" s="154"/>
      <c r="K647" s="153"/>
    </row>
    <row r="648" spans="1:11" ht="15.75" customHeight="1" x14ac:dyDescent="0.25">
      <c r="A648" s="148"/>
      <c r="B648" s="151"/>
      <c r="C648" s="151"/>
      <c r="D648" s="148"/>
      <c r="E648" s="148"/>
      <c r="F648" s="148"/>
      <c r="G648" s="148"/>
      <c r="H648" s="152"/>
      <c r="I648" s="153"/>
      <c r="J648" s="154"/>
      <c r="K648" s="153"/>
    </row>
    <row r="649" spans="1:11" ht="15.75" customHeight="1" x14ac:dyDescent="0.25">
      <c r="A649" s="148"/>
      <c r="B649" s="151"/>
      <c r="C649" s="151"/>
      <c r="D649" s="148"/>
      <c r="E649" s="148"/>
      <c r="F649" s="148"/>
      <c r="G649" s="148"/>
      <c r="H649" s="152"/>
      <c r="I649" s="153"/>
      <c r="J649" s="154"/>
      <c r="K649" s="153"/>
    </row>
    <row r="650" spans="1:11" ht="15.75" customHeight="1" x14ac:dyDescent="0.25">
      <c r="A650" s="148"/>
      <c r="B650" s="151"/>
      <c r="C650" s="151"/>
      <c r="D650" s="148"/>
      <c r="E650" s="148"/>
      <c r="F650" s="148"/>
      <c r="G650" s="148"/>
      <c r="H650" s="152"/>
      <c r="I650" s="153"/>
      <c r="J650" s="154"/>
      <c r="K650" s="153"/>
    </row>
    <row r="651" spans="1:11" ht="15.75" customHeight="1" x14ac:dyDescent="0.25">
      <c r="A651" s="148"/>
      <c r="B651" s="151"/>
      <c r="C651" s="151"/>
      <c r="D651" s="148"/>
      <c r="E651" s="148"/>
      <c r="F651" s="148"/>
      <c r="G651" s="148"/>
      <c r="H651" s="152"/>
      <c r="I651" s="153"/>
      <c r="J651" s="154"/>
      <c r="K651" s="153"/>
    </row>
    <row r="652" spans="1:11" ht="15.75" customHeight="1" x14ac:dyDescent="0.25">
      <c r="A652" s="148"/>
      <c r="B652" s="151"/>
      <c r="C652" s="151"/>
      <c r="D652" s="148"/>
      <c r="E652" s="148"/>
      <c r="F652" s="148"/>
      <c r="G652" s="148"/>
      <c r="H652" s="152"/>
      <c r="I652" s="153"/>
      <c r="J652" s="154"/>
      <c r="K652" s="153"/>
    </row>
    <row r="653" spans="1:11" ht="15.75" customHeight="1" x14ac:dyDescent="0.25">
      <c r="A653" s="148"/>
      <c r="B653" s="151"/>
      <c r="C653" s="151"/>
      <c r="D653" s="148"/>
      <c r="E653" s="148"/>
      <c r="F653" s="148"/>
      <c r="G653" s="148"/>
      <c r="H653" s="152"/>
      <c r="I653" s="153"/>
      <c r="J653" s="154"/>
      <c r="K653" s="153"/>
    </row>
    <row r="654" spans="1:11" ht="15.75" customHeight="1" x14ac:dyDescent="0.25">
      <c r="A654" s="148"/>
      <c r="B654" s="151"/>
      <c r="C654" s="151"/>
      <c r="D654" s="148"/>
      <c r="E654" s="148"/>
      <c r="F654" s="148"/>
      <c r="G654" s="148"/>
      <c r="H654" s="152"/>
      <c r="I654" s="153"/>
      <c r="J654" s="154"/>
      <c r="K654" s="153"/>
    </row>
    <row r="655" spans="1:11" ht="15.75" customHeight="1" x14ac:dyDescent="0.25">
      <c r="A655" s="148"/>
      <c r="B655" s="151"/>
      <c r="C655" s="151"/>
      <c r="D655" s="148"/>
      <c r="E655" s="148"/>
      <c r="F655" s="148"/>
      <c r="G655" s="148"/>
      <c r="H655" s="152"/>
      <c r="I655" s="153"/>
      <c r="J655" s="154"/>
      <c r="K655" s="153"/>
    </row>
    <row r="656" spans="1:11" ht="15.75" customHeight="1" x14ac:dyDescent="0.25">
      <c r="A656" s="148"/>
      <c r="B656" s="151"/>
      <c r="C656" s="151"/>
      <c r="D656" s="148"/>
      <c r="E656" s="148"/>
      <c r="F656" s="148"/>
      <c r="G656" s="148"/>
      <c r="H656" s="152"/>
      <c r="I656" s="153"/>
      <c r="J656" s="154"/>
      <c r="K656" s="153"/>
    </row>
    <row r="657" spans="1:11" ht="15.75" customHeight="1" x14ac:dyDescent="0.25">
      <c r="A657" s="148"/>
      <c r="B657" s="151"/>
      <c r="C657" s="151"/>
      <c r="D657" s="148"/>
      <c r="E657" s="148"/>
      <c r="F657" s="148"/>
      <c r="G657" s="148"/>
      <c r="H657" s="152"/>
      <c r="I657" s="153"/>
      <c r="J657" s="154"/>
      <c r="K657" s="153"/>
    </row>
    <row r="658" spans="1:11" ht="15.75" customHeight="1" x14ac:dyDescent="0.25">
      <c r="A658" s="148"/>
      <c r="B658" s="151"/>
      <c r="C658" s="151"/>
      <c r="D658" s="148"/>
      <c r="E658" s="148"/>
      <c r="F658" s="148"/>
      <c r="G658" s="148"/>
      <c r="H658" s="152"/>
      <c r="I658" s="153"/>
      <c r="J658" s="154"/>
      <c r="K658" s="153"/>
    </row>
    <row r="659" spans="1:11" ht="15.75" customHeight="1" x14ac:dyDescent="0.25">
      <c r="A659" s="148"/>
      <c r="B659" s="151"/>
      <c r="C659" s="151"/>
      <c r="D659" s="148"/>
      <c r="E659" s="148"/>
      <c r="F659" s="148"/>
      <c r="G659" s="148"/>
      <c r="H659" s="152"/>
      <c r="I659" s="153"/>
      <c r="J659" s="154"/>
      <c r="K659" s="153"/>
    </row>
    <row r="660" spans="1:11" ht="15.75" customHeight="1" x14ac:dyDescent="0.25">
      <c r="A660" s="148"/>
      <c r="B660" s="151"/>
      <c r="C660" s="151"/>
      <c r="D660" s="148"/>
      <c r="E660" s="148"/>
      <c r="F660" s="148"/>
      <c r="G660" s="148"/>
      <c r="H660" s="152"/>
      <c r="I660" s="153"/>
      <c r="J660" s="154"/>
      <c r="K660" s="153"/>
    </row>
    <row r="661" spans="1:11" ht="15.75" customHeight="1" x14ac:dyDescent="0.25">
      <c r="A661" s="148"/>
      <c r="B661" s="151"/>
      <c r="C661" s="151"/>
      <c r="D661" s="148"/>
      <c r="E661" s="148"/>
      <c r="F661" s="148"/>
      <c r="G661" s="148"/>
      <c r="H661" s="152"/>
      <c r="I661" s="153"/>
      <c r="J661" s="154"/>
      <c r="K661" s="153"/>
    </row>
    <row r="662" spans="1:11" ht="15.75" customHeight="1" x14ac:dyDescent="0.25">
      <c r="A662" s="148"/>
      <c r="B662" s="151"/>
      <c r="C662" s="151"/>
      <c r="D662" s="148"/>
      <c r="E662" s="148"/>
      <c r="F662" s="148"/>
      <c r="G662" s="148"/>
      <c r="H662" s="152"/>
      <c r="I662" s="153"/>
      <c r="J662" s="154"/>
      <c r="K662" s="153"/>
    </row>
    <row r="663" spans="1:11" ht="15.75" customHeight="1" x14ac:dyDescent="0.25">
      <c r="A663" s="148"/>
      <c r="B663" s="151"/>
      <c r="C663" s="151"/>
      <c r="D663" s="148"/>
      <c r="E663" s="148"/>
      <c r="F663" s="148"/>
      <c r="G663" s="148"/>
      <c r="H663" s="152"/>
      <c r="I663" s="153"/>
      <c r="J663" s="154"/>
      <c r="K663" s="153"/>
    </row>
    <row r="664" spans="1:11" ht="15.75" customHeight="1" x14ac:dyDescent="0.25">
      <c r="A664" s="148"/>
      <c r="B664" s="151"/>
      <c r="C664" s="151"/>
      <c r="D664" s="148"/>
      <c r="E664" s="148"/>
      <c r="F664" s="148"/>
      <c r="G664" s="148"/>
      <c r="H664" s="152"/>
      <c r="I664" s="153"/>
      <c r="J664" s="154"/>
      <c r="K664" s="153"/>
    </row>
    <row r="665" spans="1:11" ht="15.75" customHeight="1" x14ac:dyDescent="0.25">
      <c r="A665" s="148"/>
      <c r="B665" s="151"/>
      <c r="C665" s="151"/>
      <c r="D665" s="148"/>
      <c r="E665" s="148"/>
      <c r="F665" s="148"/>
      <c r="G665" s="148"/>
      <c r="H665" s="152"/>
      <c r="I665" s="153"/>
      <c r="J665" s="154"/>
      <c r="K665" s="153"/>
    </row>
    <row r="666" spans="1:11" ht="15.75" customHeight="1" x14ac:dyDescent="0.25">
      <c r="A666" s="148"/>
      <c r="B666" s="151"/>
      <c r="C666" s="151"/>
      <c r="D666" s="148"/>
      <c r="E666" s="148"/>
      <c r="F666" s="148"/>
      <c r="G666" s="148"/>
      <c r="H666" s="152"/>
      <c r="I666" s="153"/>
      <c r="J666" s="154"/>
      <c r="K666" s="153"/>
    </row>
    <row r="667" spans="1:11" ht="15.75" customHeight="1" x14ac:dyDescent="0.25">
      <c r="A667" s="148"/>
      <c r="B667" s="151"/>
      <c r="C667" s="151"/>
      <c r="D667" s="148"/>
      <c r="E667" s="148"/>
      <c r="F667" s="148"/>
      <c r="G667" s="148"/>
      <c r="H667" s="152"/>
      <c r="I667" s="153"/>
      <c r="J667" s="154"/>
      <c r="K667" s="153"/>
    </row>
    <row r="668" spans="1:11" ht="15.75" customHeight="1" x14ac:dyDescent="0.25">
      <c r="A668" s="148"/>
      <c r="B668" s="151"/>
      <c r="C668" s="151"/>
      <c r="D668" s="148"/>
      <c r="E668" s="148"/>
      <c r="F668" s="148"/>
      <c r="G668" s="148"/>
      <c r="H668" s="152"/>
      <c r="I668" s="153"/>
      <c r="J668" s="154"/>
      <c r="K668" s="153"/>
    </row>
    <row r="669" spans="1:11" ht="15.75" customHeight="1" x14ac:dyDescent="0.25">
      <c r="A669" s="148"/>
      <c r="B669" s="151"/>
      <c r="C669" s="151"/>
      <c r="D669" s="148"/>
      <c r="E669" s="148"/>
      <c r="F669" s="148"/>
      <c r="G669" s="148"/>
      <c r="H669" s="152"/>
      <c r="I669" s="153"/>
      <c r="J669" s="154"/>
      <c r="K669" s="153"/>
    </row>
    <row r="670" spans="1:11" ht="15.75" customHeight="1" x14ac:dyDescent="0.25">
      <c r="A670" s="148"/>
      <c r="B670" s="151"/>
      <c r="C670" s="151"/>
      <c r="D670" s="148"/>
      <c r="E670" s="148"/>
      <c r="F670" s="148"/>
      <c r="G670" s="148"/>
      <c r="H670" s="152"/>
      <c r="I670" s="153"/>
      <c r="J670" s="154"/>
      <c r="K670" s="153"/>
    </row>
    <row r="671" spans="1:11" ht="15.75" customHeight="1" x14ac:dyDescent="0.25">
      <c r="A671" s="148"/>
      <c r="B671" s="151"/>
      <c r="C671" s="151"/>
      <c r="D671" s="148"/>
      <c r="E671" s="148"/>
      <c r="F671" s="148"/>
      <c r="G671" s="148"/>
      <c r="H671" s="152"/>
      <c r="I671" s="153"/>
      <c r="J671" s="154"/>
      <c r="K671" s="153"/>
    </row>
    <row r="672" spans="1:11" ht="15.75" customHeight="1" x14ac:dyDescent="0.25">
      <c r="A672" s="148"/>
      <c r="B672" s="151"/>
      <c r="C672" s="151"/>
      <c r="D672" s="148"/>
      <c r="E672" s="148"/>
      <c r="F672" s="148"/>
      <c r="G672" s="148"/>
      <c r="H672" s="152"/>
      <c r="I672" s="153"/>
      <c r="J672" s="154"/>
      <c r="K672" s="153"/>
    </row>
    <row r="673" spans="1:11" ht="15.75" customHeight="1" x14ac:dyDescent="0.25">
      <c r="A673" s="148"/>
      <c r="B673" s="151"/>
      <c r="C673" s="151"/>
      <c r="D673" s="148"/>
      <c r="E673" s="148"/>
      <c r="F673" s="148"/>
      <c r="G673" s="148"/>
      <c r="H673" s="152"/>
      <c r="I673" s="153"/>
      <c r="J673" s="154"/>
      <c r="K673" s="153"/>
    </row>
    <row r="674" spans="1:11" ht="15.75" customHeight="1" x14ac:dyDescent="0.25">
      <c r="A674" s="148"/>
      <c r="B674" s="151"/>
      <c r="C674" s="151"/>
      <c r="D674" s="148"/>
      <c r="E674" s="148"/>
      <c r="F674" s="148"/>
      <c r="G674" s="148"/>
      <c r="H674" s="152"/>
      <c r="I674" s="153"/>
      <c r="J674" s="154"/>
      <c r="K674" s="153"/>
    </row>
    <row r="675" spans="1:11" ht="15.75" customHeight="1" x14ac:dyDescent="0.25">
      <c r="A675" s="148"/>
      <c r="B675" s="151"/>
      <c r="C675" s="151"/>
      <c r="D675" s="148"/>
      <c r="E675" s="148"/>
      <c r="F675" s="148"/>
      <c r="G675" s="148"/>
      <c r="H675" s="152"/>
      <c r="I675" s="153"/>
      <c r="J675" s="154"/>
      <c r="K675" s="153"/>
    </row>
    <row r="676" spans="1:11" ht="15.75" customHeight="1" x14ac:dyDescent="0.25">
      <c r="A676" s="148"/>
      <c r="B676" s="151"/>
      <c r="C676" s="151"/>
      <c r="D676" s="148"/>
      <c r="E676" s="148"/>
      <c r="F676" s="148"/>
      <c r="G676" s="148"/>
      <c r="H676" s="152"/>
      <c r="I676" s="153"/>
      <c r="J676" s="154"/>
      <c r="K676" s="153"/>
    </row>
    <row r="677" spans="1:11" ht="15.75" customHeight="1" x14ac:dyDescent="0.25">
      <c r="A677" s="148"/>
      <c r="B677" s="151"/>
      <c r="C677" s="151"/>
      <c r="D677" s="148"/>
      <c r="E677" s="148"/>
      <c r="F677" s="148"/>
      <c r="G677" s="148"/>
      <c r="H677" s="152"/>
      <c r="I677" s="153"/>
      <c r="J677" s="154"/>
      <c r="K677" s="153"/>
    </row>
    <row r="678" spans="1:11" ht="15.75" customHeight="1" x14ac:dyDescent="0.25">
      <c r="A678" s="148"/>
      <c r="B678" s="151"/>
      <c r="C678" s="151"/>
      <c r="D678" s="148"/>
      <c r="E678" s="148"/>
      <c r="F678" s="148"/>
      <c r="G678" s="148"/>
      <c r="H678" s="152"/>
      <c r="I678" s="153"/>
      <c r="J678" s="154"/>
      <c r="K678" s="153"/>
    </row>
    <row r="679" spans="1:11" ht="15.75" customHeight="1" x14ac:dyDescent="0.25">
      <c r="A679" s="148"/>
      <c r="B679" s="151"/>
      <c r="C679" s="151"/>
      <c r="D679" s="148"/>
      <c r="E679" s="148"/>
      <c r="F679" s="148"/>
      <c r="G679" s="148"/>
      <c r="H679" s="152"/>
      <c r="I679" s="153"/>
      <c r="J679" s="154"/>
      <c r="K679" s="153"/>
    </row>
    <row r="680" spans="1:11" ht="15.75" customHeight="1" x14ac:dyDescent="0.25">
      <c r="A680" s="148"/>
      <c r="B680" s="151"/>
      <c r="C680" s="151"/>
      <c r="D680" s="148"/>
      <c r="E680" s="148"/>
      <c r="F680" s="148"/>
      <c r="G680" s="148"/>
      <c r="H680" s="152"/>
      <c r="I680" s="153"/>
      <c r="J680" s="154"/>
      <c r="K680" s="153"/>
    </row>
    <row r="681" spans="1:11" ht="15.75" customHeight="1" x14ac:dyDescent="0.25">
      <c r="A681" s="148"/>
      <c r="B681" s="151"/>
      <c r="C681" s="151"/>
      <c r="D681" s="148"/>
      <c r="E681" s="148"/>
      <c r="F681" s="148"/>
      <c r="G681" s="148"/>
      <c r="H681" s="152"/>
      <c r="I681" s="153"/>
      <c r="J681" s="154"/>
      <c r="K681" s="153"/>
    </row>
    <row r="682" spans="1:11" ht="15.75" customHeight="1" x14ac:dyDescent="0.25">
      <c r="A682" s="148"/>
      <c r="B682" s="151"/>
      <c r="C682" s="151"/>
      <c r="D682" s="148"/>
      <c r="E682" s="148"/>
      <c r="F682" s="148"/>
      <c r="G682" s="148"/>
      <c r="H682" s="152"/>
      <c r="I682" s="153"/>
      <c r="J682" s="154"/>
      <c r="K682" s="153"/>
    </row>
    <row r="683" spans="1:11" ht="15.75" customHeight="1" x14ac:dyDescent="0.25">
      <c r="A683" s="148"/>
      <c r="B683" s="151"/>
      <c r="C683" s="151"/>
      <c r="D683" s="148"/>
      <c r="E683" s="148"/>
      <c r="F683" s="148"/>
      <c r="G683" s="148"/>
      <c r="H683" s="152"/>
      <c r="I683" s="153"/>
      <c r="J683" s="154"/>
      <c r="K683" s="153"/>
    </row>
    <row r="684" spans="1:11" ht="15.75" customHeight="1" x14ac:dyDescent="0.25">
      <c r="A684" s="148"/>
      <c r="B684" s="151"/>
      <c r="C684" s="151"/>
      <c r="D684" s="148"/>
      <c r="E684" s="148"/>
      <c r="F684" s="148"/>
      <c r="G684" s="148"/>
      <c r="H684" s="152"/>
      <c r="I684" s="153"/>
      <c r="J684" s="154"/>
      <c r="K684" s="153"/>
    </row>
    <row r="685" spans="1:11" ht="15.75" customHeight="1" x14ac:dyDescent="0.25">
      <c r="A685" s="148"/>
      <c r="B685" s="151"/>
      <c r="C685" s="151"/>
      <c r="D685" s="148"/>
      <c r="E685" s="148"/>
      <c r="F685" s="148"/>
      <c r="G685" s="148"/>
      <c r="H685" s="152"/>
      <c r="I685" s="153"/>
      <c r="J685" s="154"/>
      <c r="K685" s="153"/>
    </row>
    <row r="686" spans="1:11" ht="15.75" customHeight="1" x14ac:dyDescent="0.25">
      <c r="A686" s="148"/>
      <c r="B686" s="151"/>
      <c r="C686" s="151"/>
      <c r="D686" s="148"/>
      <c r="E686" s="148"/>
      <c r="F686" s="148"/>
      <c r="G686" s="148"/>
      <c r="H686" s="152"/>
      <c r="I686" s="153"/>
      <c r="J686" s="154"/>
      <c r="K686" s="153"/>
    </row>
    <row r="687" spans="1:11" ht="15.75" customHeight="1" x14ac:dyDescent="0.25">
      <c r="A687" s="148"/>
      <c r="B687" s="151"/>
      <c r="C687" s="151"/>
      <c r="D687" s="148"/>
      <c r="E687" s="148"/>
      <c r="F687" s="148"/>
      <c r="G687" s="148"/>
      <c r="H687" s="152"/>
      <c r="I687" s="153"/>
      <c r="J687" s="154"/>
      <c r="K687" s="153"/>
    </row>
    <row r="688" spans="1:11" ht="15.75" customHeight="1" x14ac:dyDescent="0.25">
      <c r="A688" s="148"/>
      <c r="B688" s="151"/>
      <c r="C688" s="151"/>
      <c r="D688" s="148"/>
      <c r="E688" s="148"/>
      <c r="F688" s="148"/>
      <c r="G688" s="148"/>
      <c r="H688" s="152"/>
      <c r="I688" s="153"/>
      <c r="J688" s="154"/>
      <c r="K688" s="153"/>
    </row>
    <row r="689" spans="1:11" ht="15.75" customHeight="1" x14ac:dyDescent="0.25">
      <c r="A689" s="148"/>
      <c r="B689" s="151"/>
      <c r="C689" s="151"/>
      <c r="D689" s="148"/>
      <c r="E689" s="148"/>
      <c r="F689" s="148"/>
      <c r="G689" s="148"/>
      <c r="H689" s="152"/>
      <c r="I689" s="153"/>
      <c r="J689" s="154"/>
      <c r="K689" s="153"/>
    </row>
    <row r="690" spans="1:11" ht="15.75" customHeight="1" x14ac:dyDescent="0.25">
      <c r="A690" s="148"/>
      <c r="B690" s="151"/>
      <c r="C690" s="151"/>
      <c r="D690" s="148"/>
      <c r="E690" s="148"/>
      <c r="F690" s="148"/>
      <c r="G690" s="148"/>
      <c r="H690" s="152"/>
      <c r="I690" s="153"/>
      <c r="J690" s="154"/>
      <c r="K690" s="153"/>
    </row>
    <row r="691" spans="1:11" ht="15.75" customHeight="1" x14ac:dyDescent="0.25">
      <c r="A691" s="148"/>
      <c r="B691" s="151"/>
      <c r="C691" s="151"/>
      <c r="D691" s="148"/>
      <c r="E691" s="148"/>
      <c r="F691" s="148"/>
      <c r="G691" s="148"/>
      <c r="H691" s="152"/>
      <c r="I691" s="153"/>
      <c r="J691" s="154"/>
      <c r="K691" s="153"/>
    </row>
    <row r="692" spans="1:11" ht="15.75" customHeight="1" x14ac:dyDescent="0.25">
      <c r="A692" s="148"/>
      <c r="B692" s="151"/>
      <c r="C692" s="151"/>
      <c r="D692" s="148"/>
      <c r="E692" s="148"/>
      <c r="F692" s="148"/>
      <c r="G692" s="148"/>
      <c r="H692" s="152"/>
      <c r="I692" s="153"/>
      <c r="J692" s="154"/>
      <c r="K692" s="153"/>
    </row>
    <row r="693" spans="1:11" ht="15.75" customHeight="1" x14ac:dyDescent="0.25">
      <c r="A693" s="148"/>
      <c r="B693" s="151"/>
      <c r="C693" s="151"/>
      <c r="D693" s="148"/>
      <c r="E693" s="148"/>
      <c r="F693" s="148"/>
      <c r="G693" s="148"/>
      <c r="H693" s="152"/>
      <c r="I693" s="153"/>
      <c r="J693" s="154"/>
      <c r="K693" s="153"/>
    </row>
    <row r="694" spans="1:11" ht="15.75" customHeight="1" x14ac:dyDescent="0.25">
      <c r="A694" s="148"/>
      <c r="B694" s="151"/>
      <c r="C694" s="151"/>
      <c r="D694" s="148"/>
      <c r="E694" s="148"/>
      <c r="F694" s="148"/>
      <c r="G694" s="148"/>
      <c r="H694" s="152"/>
      <c r="I694" s="153"/>
      <c r="J694" s="154"/>
      <c r="K694" s="153"/>
    </row>
    <row r="695" spans="1:11" ht="15.75" customHeight="1" x14ac:dyDescent="0.25">
      <c r="A695" s="148"/>
      <c r="B695" s="151"/>
      <c r="C695" s="151"/>
      <c r="D695" s="148"/>
      <c r="E695" s="148"/>
      <c r="F695" s="148"/>
      <c r="G695" s="148"/>
      <c r="H695" s="152"/>
      <c r="I695" s="153"/>
      <c r="J695" s="154"/>
      <c r="K695" s="153"/>
    </row>
    <row r="696" spans="1:11" ht="15.75" customHeight="1" x14ac:dyDescent="0.25">
      <c r="A696" s="148"/>
      <c r="B696" s="151"/>
      <c r="C696" s="151"/>
      <c r="D696" s="148"/>
      <c r="E696" s="148"/>
      <c r="F696" s="148"/>
      <c r="G696" s="148"/>
      <c r="H696" s="152"/>
      <c r="I696" s="153"/>
      <c r="J696" s="154"/>
      <c r="K696" s="153"/>
    </row>
    <row r="697" spans="1:11" ht="15.75" customHeight="1" x14ac:dyDescent="0.25">
      <c r="A697" s="148"/>
      <c r="B697" s="151"/>
      <c r="C697" s="151"/>
      <c r="D697" s="148"/>
      <c r="E697" s="148"/>
      <c r="F697" s="148"/>
      <c r="G697" s="148"/>
      <c r="H697" s="152"/>
      <c r="I697" s="153"/>
      <c r="J697" s="154"/>
      <c r="K697" s="153"/>
    </row>
    <row r="698" spans="1:11" ht="15.75" customHeight="1" x14ac:dyDescent="0.25">
      <c r="A698" s="148"/>
      <c r="B698" s="151"/>
      <c r="C698" s="151"/>
      <c r="D698" s="148"/>
      <c r="E698" s="148"/>
      <c r="F698" s="148"/>
      <c r="G698" s="148"/>
      <c r="H698" s="152"/>
      <c r="I698" s="153"/>
      <c r="J698" s="154"/>
      <c r="K698" s="153"/>
    </row>
    <row r="699" spans="1:11" ht="15.75" customHeight="1" x14ac:dyDescent="0.25">
      <c r="A699" s="148"/>
      <c r="B699" s="151"/>
      <c r="C699" s="151"/>
      <c r="D699" s="148"/>
      <c r="E699" s="148"/>
      <c r="F699" s="148"/>
      <c r="G699" s="148"/>
      <c r="H699" s="152"/>
      <c r="I699" s="153"/>
      <c r="J699" s="154"/>
      <c r="K699" s="153"/>
    </row>
    <row r="700" spans="1:11" ht="15.75" customHeight="1" x14ac:dyDescent="0.25">
      <c r="A700" s="148"/>
      <c r="B700" s="151"/>
      <c r="C700" s="151"/>
      <c r="D700" s="148"/>
      <c r="E700" s="148"/>
      <c r="F700" s="148"/>
      <c r="G700" s="148"/>
      <c r="H700" s="152"/>
      <c r="I700" s="153"/>
      <c r="J700" s="154"/>
      <c r="K700" s="153"/>
    </row>
    <row r="701" spans="1:11" ht="15.75" customHeight="1" x14ac:dyDescent="0.25">
      <c r="A701" s="148"/>
      <c r="B701" s="151"/>
      <c r="C701" s="151"/>
      <c r="D701" s="148"/>
      <c r="E701" s="148"/>
      <c r="F701" s="148"/>
      <c r="G701" s="148"/>
      <c r="H701" s="152"/>
      <c r="I701" s="153"/>
      <c r="J701" s="154"/>
      <c r="K701" s="153"/>
    </row>
    <row r="702" spans="1:11" ht="15.75" customHeight="1" x14ac:dyDescent="0.25">
      <c r="A702" s="148"/>
      <c r="B702" s="151"/>
      <c r="C702" s="151"/>
      <c r="D702" s="148"/>
      <c r="E702" s="148"/>
      <c r="F702" s="148"/>
      <c r="G702" s="148"/>
      <c r="H702" s="152"/>
      <c r="I702" s="153"/>
      <c r="J702" s="154"/>
      <c r="K702" s="153"/>
    </row>
    <row r="703" spans="1:11" ht="15.75" customHeight="1" x14ac:dyDescent="0.25">
      <c r="A703" s="148"/>
      <c r="B703" s="151"/>
      <c r="C703" s="151"/>
      <c r="D703" s="148"/>
      <c r="E703" s="148"/>
      <c r="F703" s="148"/>
      <c r="G703" s="148"/>
      <c r="H703" s="152"/>
      <c r="I703" s="153"/>
      <c r="J703" s="154"/>
      <c r="K703" s="153"/>
    </row>
    <row r="704" spans="1:11" ht="15.75" customHeight="1" x14ac:dyDescent="0.25">
      <c r="A704" s="148"/>
      <c r="B704" s="151"/>
      <c r="C704" s="151"/>
      <c r="D704" s="148"/>
      <c r="E704" s="148"/>
      <c r="F704" s="148"/>
      <c r="G704" s="148"/>
      <c r="H704" s="152"/>
      <c r="I704" s="153"/>
      <c r="J704" s="154"/>
      <c r="K704" s="153"/>
    </row>
    <row r="705" spans="1:11" ht="15.75" customHeight="1" x14ac:dyDescent="0.25">
      <c r="A705" s="148"/>
      <c r="B705" s="151"/>
      <c r="C705" s="151"/>
      <c r="D705" s="148"/>
      <c r="E705" s="148"/>
      <c r="F705" s="148"/>
      <c r="G705" s="148"/>
      <c r="H705" s="152"/>
      <c r="I705" s="153"/>
      <c r="J705" s="154"/>
      <c r="K705" s="153"/>
    </row>
    <row r="706" spans="1:11" ht="15.75" customHeight="1" x14ac:dyDescent="0.25">
      <c r="A706" s="148"/>
      <c r="B706" s="151"/>
      <c r="C706" s="151"/>
      <c r="D706" s="148"/>
      <c r="E706" s="148"/>
      <c r="F706" s="148"/>
      <c r="G706" s="148"/>
      <c r="H706" s="152"/>
      <c r="I706" s="153"/>
      <c r="J706" s="154"/>
      <c r="K706" s="153"/>
    </row>
    <row r="707" spans="1:11" ht="15.75" customHeight="1" x14ac:dyDescent="0.25">
      <c r="A707" s="148"/>
      <c r="B707" s="151"/>
      <c r="C707" s="151"/>
      <c r="D707" s="148"/>
      <c r="E707" s="148"/>
      <c r="F707" s="148"/>
      <c r="G707" s="148"/>
      <c r="H707" s="152"/>
      <c r="I707" s="153"/>
      <c r="J707" s="154"/>
      <c r="K707" s="153"/>
    </row>
    <row r="708" spans="1:11" ht="15.75" customHeight="1" x14ac:dyDescent="0.25">
      <c r="A708" s="148"/>
      <c r="B708" s="151"/>
      <c r="C708" s="151"/>
      <c r="D708" s="148"/>
      <c r="E708" s="148"/>
      <c r="F708" s="148"/>
      <c r="G708" s="148"/>
      <c r="H708" s="152"/>
      <c r="I708" s="153"/>
      <c r="J708" s="154"/>
      <c r="K708" s="153"/>
    </row>
    <row r="709" spans="1:11" ht="15.75" customHeight="1" x14ac:dyDescent="0.25">
      <c r="A709" s="148"/>
      <c r="B709" s="151"/>
      <c r="C709" s="151"/>
      <c r="D709" s="148"/>
      <c r="E709" s="148"/>
      <c r="F709" s="148"/>
      <c r="G709" s="148"/>
      <c r="H709" s="152"/>
      <c r="I709" s="153"/>
      <c r="J709" s="154"/>
      <c r="K709" s="153"/>
    </row>
    <row r="710" spans="1:11" ht="15.75" customHeight="1" x14ac:dyDescent="0.25">
      <c r="A710" s="148"/>
      <c r="B710" s="151"/>
      <c r="C710" s="151"/>
      <c r="D710" s="148"/>
      <c r="E710" s="148"/>
      <c r="F710" s="148"/>
      <c r="G710" s="148"/>
      <c r="H710" s="152"/>
      <c r="I710" s="153"/>
      <c r="J710" s="154"/>
      <c r="K710" s="153"/>
    </row>
    <row r="711" spans="1:11" ht="15.75" customHeight="1" x14ac:dyDescent="0.25">
      <c r="A711" s="148"/>
      <c r="B711" s="151"/>
      <c r="C711" s="151"/>
      <c r="D711" s="148"/>
      <c r="E711" s="148"/>
      <c r="F711" s="148"/>
      <c r="G711" s="148"/>
      <c r="H711" s="152"/>
      <c r="I711" s="153"/>
      <c r="J711" s="154"/>
      <c r="K711" s="153"/>
    </row>
    <row r="712" spans="1:11" ht="15.75" customHeight="1" x14ac:dyDescent="0.25">
      <c r="A712" s="148"/>
      <c r="B712" s="151"/>
      <c r="C712" s="151"/>
      <c r="D712" s="148"/>
      <c r="E712" s="148"/>
      <c r="F712" s="148"/>
      <c r="G712" s="148"/>
      <c r="H712" s="152"/>
      <c r="I712" s="153"/>
      <c r="J712" s="154"/>
      <c r="K712" s="153"/>
    </row>
    <row r="713" spans="1:11" ht="15.75" customHeight="1" x14ac:dyDescent="0.25">
      <c r="A713" s="148"/>
      <c r="B713" s="151"/>
      <c r="C713" s="151"/>
      <c r="D713" s="148"/>
      <c r="E713" s="148"/>
      <c r="F713" s="148"/>
      <c r="G713" s="148"/>
      <c r="H713" s="152"/>
      <c r="I713" s="153"/>
      <c r="J713" s="154"/>
      <c r="K713" s="153"/>
    </row>
    <row r="714" spans="1:11" ht="15.75" customHeight="1" x14ac:dyDescent="0.25">
      <c r="A714" s="148"/>
      <c r="B714" s="151"/>
      <c r="C714" s="151"/>
      <c r="D714" s="148"/>
      <c r="E714" s="148"/>
      <c r="F714" s="148"/>
      <c r="G714" s="148"/>
      <c r="H714" s="152"/>
      <c r="I714" s="153"/>
      <c r="J714" s="154"/>
      <c r="K714" s="153"/>
    </row>
    <row r="715" spans="1:11" ht="15.75" customHeight="1" x14ac:dyDescent="0.25">
      <c r="A715" s="148"/>
      <c r="B715" s="151"/>
      <c r="C715" s="151"/>
      <c r="D715" s="148"/>
      <c r="E715" s="148"/>
      <c r="F715" s="148"/>
      <c r="G715" s="148"/>
      <c r="H715" s="152"/>
      <c r="I715" s="153"/>
      <c r="J715" s="154"/>
      <c r="K715" s="153"/>
    </row>
    <row r="716" spans="1:11" ht="15.75" customHeight="1" x14ac:dyDescent="0.25">
      <c r="A716" s="148"/>
      <c r="B716" s="151"/>
      <c r="C716" s="151"/>
      <c r="D716" s="148"/>
      <c r="E716" s="148"/>
      <c r="F716" s="148"/>
      <c r="G716" s="148"/>
      <c r="H716" s="152"/>
      <c r="I716" s="153"/>
      <c r="J716" s="154"/>
      <c r="K716" s="153"/>
    </row>
    <row r="717" spans="1:11" ht="15.75" customHeight="1" x14ac:dyDescent="0.25">
      <c r="A717" s="148"/>
      <c r="B717" s="151"/>
      <c r="C717" s="151"/>
      <c r="D717" s="148"/>
      <c r="E717" s="148"/>
      <c r="F717" s="148"/>
      <c r="G717" s="148"/>
      <c r="H717" s="152"/>
      <c r="I717" s="153"/>
      <c r="J717" s="154"/>
      <c r="K717" s="153"/>
    </row>
    <row r="718" spans="1:11" ht="15.75" customHeight="1" x14ac:dyDescent="0.25">
      <c r="A718" s="148"/>
      <c r="B718" s="151"/>
      <c r="C718" s="151"/>
      <c r="D718" s="148"/>
      <c r="E718" s="148"/>
      <c r="F718" s="148"/>
      <c r="G718" s="148"/>
      <c r="H718" s="152"/>
      <c r="I718" s="153"/>
      <c r="J718" s="154"/>
      <c r="K718" s="153"/>
    </row>
    <row r="719" spans="1:11" ht="15.75" customHeight="1" x14ac:dyDescent="0.25">
      <c r="A719" s="148"/>
      <c r="B719" s="151"/>
      <c r="C719" s="151"/>
      <c r="D719" s="148"/>
      <c r="E719" s="148"/>
      <c r="F719" s="148"/>
      <c r="G719" s="148"/>
      <c r="H719" s="152"/>
      <c r="I719" s="153"/>
      <c r="J719" s="154"/>
      <c r="K719" s="153"/>
    </row>
    <row r="720" spans="1:11" ht="15.75" customHeight="1" x14ac:dyDescent="0.25">
      <c r="A720" s="148"/>
      <c r="B720" s="151"/>
      <c r="C720" s="151"/>
      <c r="D720" s="148"/>
      <c r="E720" s="148"/>
      <c r="F720" s="148"/>
      <c r="G720" s="148"/>
      <c r="H720" s="152"/>
      <c r="I720" s="153"/>
      <c r="J720" s="154"/>
      <c r="K720" s="153"/>
    </row>
    <row r="721" spans="1:11" ht="15.75" customHeight="1" x14ac:dyDescent="0.25">
      <c r="A721" s="148"/>
      <c r="B721" s="151"/>
      <c r="C721" s="151"/>
      <c r="D721" s="148"/>
      <c r="E721" s="148"/>
      <c r="F721" s="148"/>
      <c r="G721" s="148"/>
      <c r="H721" s="152"/>
      <c r="I721" s="153"/>
      <c r="J721" s="154"/>
      <c r="K721" s="153"/>
    </row>
    <row r="722" spans="1:11" ht="15.75" customHeight="1" x14ac:dyDescent="0.25">
      <c r="A722" s="148"/>
      <c r="B722" s="151"/>
      <c r="C722" s="151"/>
      <c r="D722" s="148"/>
      <c r="E722" s="148"/>
      <c r="F722" s="148"/>
      <c r="G722" s="148"/>
      <c r="H722" s="152"/>
      <c r="I722" s="153"/>
      <c r="J722" s="154"/>
      <c r="K722" s="153"/>
    </row>
    <row r="723" spans="1:11" ht="15.75" customHeight="1" x14ac:dyDescent="0.25">
      <c r="A723" s="148"/>
      <c r="B723" s="151"/>
      <c r="C723" s="151"/>
      <c r="D723" s="148"/>
      <c r="E723" s="148"/>
      <c r="F723" s="148"/>
      <c r="G723" s="148"/>
      <c r="H723" s="152"/>
      <c r="I723" s="153"/>
      <c r="J723" s="154"/>
      <c r="K723" s="153"/>
    </row>
    <row r="724" spans="1:11" ht="15.75" customHeight="1" x14ac:dyDescent="0.25">
      <c r="A724" s="148"/>
      <c r="B724" s="151"/>
      <c r="C724" s="151"/>
      <c r="D724" s="148"/>
      <c r="E724" s="148"/>
      <c r="F724" s="148"/>
      <c r="G724" s="148"/>
      <c r="H724" s="152"/>
      <c r="I724" s="153"/>
      <c r="J724" s="154"/>
      <c r="K724" s="153"/>
    </row>
    <row r="725" spans="1:11" ht="15.75" customHeight="1" x14ac:dyDescent="0.25">
      <c r="A725" s="148"/>
      <c r="B725" s="151"/>
      <c r="C725" s="151"/>
      <c r="D725" s="148"/>
      <c r="E725" s="148"/>
      <c r="F725" s="148"/>
      <c r="G725" s="148"/>
      <c r="H725" s="152"/>
      <c r="I725" s="153"/>
      <c r="J725" s="154"/>
      <c r="K725" s="153"/>
    </row>
    <row r="726" spans="1:11" ht="15.75" customHeight="1" x14ac:dyDescent="0.25">
      <c r="A726" s="148"/>
      <c r="B726" s="151"/>
      <c r="C726" s="151"/>
      <c r="D726" s="148"/>
      <c r="E726" s="148"/>
      <c r="F726" s="148"/>
      <c r="G726" s="148"/>
      <c r="H726" s="152"/>
      <c r="I726" s="153"/>
      <c r="J726" s="154"/>
      <c r="K726" s="153"/>
    </row>
    <row r="727" spans="1:11" ht="15.75" customHeight="1" x14ac:dyDescent="0.25">
      <c r="A727" s="148"/>
      <c r="B727" s="151"/>
      <c r="C727" s="151"/>
      <c r="D727" s="148"/>
      <c r="E727" s="148"/>
      <c r="F727" s="148"/>
      <c r="G727" s="148"/>
      <c r="H727" s="152"/>
      <c r="I727" s="153"/>
      <c r="J727" s="154"/>
      <c r="K727" s="153"/>
    </row>
    <row r="728" spans="1:11" ht="15.75" customHeight="1" x14ac:dyDescent="0.25">
      <c r="A728" s="148"/>
      <c r="B728" s="151"/>
      <c r="C728" s="151"/>
      <c r="D728" s="148"/>
      <c r="E728" s="148"/>
      <c r="F728" s="148"/>
      <c r="G728" s="148"/>
      <c r="H728" s="152"/>
      <c r="I728" s="153"/>
      <c r="J728" s="154"/>
      <c r="K728" s="153"/>
    </row>
    <row r="729" spans="1:11" ht="15.75" customHeight="1" x14ac:dyDescent="0.25">
      <c r="A729" s="148"/>
      <c r="B729" s="151"/>
      <c r="C729" s="151"/>
      <c r="D729" s="148"/>
      <c r="E729" s="148"/>
      <c r="F729" s="148"/>
      <c r="G729" s="148"/>
      <c r="H729" s="152"/>
      <c r="I729" s="153"/>
      <c r="J729" s="154"/>
      <c r="K729" s="153"/>
    </row>
    <row r="730" spans="1:11" ht="15.75" customHeight="1" x14ac:dyDescent="0.25">
      <c r="A730" s="148"/>
      <c r="B730" s="151"/>
      <c r="C730" s="151"/>
      <c r="D730" s="148"/>
      <c r="E730" s="148"/>
      <c r="F730" s="148"/>
      <c r="G730" s="148"/>
      <c r="H730" s="152"/>
      <c r="I730" s="153"/>
      <c r="J730" s="154"/>
      <c r="K730" s="153"/>
    </row>
    <row r="731" spans="1:11" ht="15.75" customHeight="1" x14ac:dyDescent="0.25">
      <c r="A731" s="148"/>
      <c r="B731" s="151"/>
      <c r="C731" s="151"/>
      <c r="D731" s="148"/>
      <c r="E731" s="148"/>
      <c r="F731" s="148"/>
      <c r="G731" s="148"/>
      <c r="H731" s="152"/>
      <c r="I731" s="153"/>
      <c r="J731" s="154"/>
      <c r="K731" s="153"/>
    </row>
    <row r="732" spans="1:11" ht="15.75" customHeight="1" x14ac:dyDescent="0.25">
      <c r="A732" s="148"/>
      <c r="B732" s="151"/>
      <c r="C732" s="151"/>
      <c r="D732" s="148"/>
      <c r="E732" s="148"/>
      <c r="F732" s="148"/>
      <c r="G732" s="148"/>
      <c r="H732" s="152"/>
      <c r="I732" s="153"/>
      <c r="J732" s="154"/>
      <c r="K732" s="153"/>
    </row>
    <row r="733" spans="1:11" ht="15.75" customHeight="1" x14ac:dyDescent="0.25">
      <c r="A733" s="148"/>
      <c r="B733" s="151"/>
      <c r="C733" s="151"/>
      <c r="D733" s="148"/>
      <c r="E733" s="148"/>
      <c r="F733" s="148"/>
      <c r="G733" s="148"/>
      <c r="H733" s="152"/>
      <c r="I733" s="153"/>
      <c r="J733" s="154"/>
      <c r="K733" s="153"/>
    </row>
    <row r="734" spans="1:11" ht="15.75" customHeight="1" x14ac:dyDescent="0.25">
      <c r="A734" s="148"/>
      <c r="B734" s="151"/>
      <c r="C734" s="151"/>
      <c r="D734" s="148"/>
      <c r="E734" s="148"/>
      <c r="F734" s="148"/>
      <c r="G734" s="148"/>
      <c r="H734" s="152"/>
      <c r="I734" s="153"/>
      <c r="J734" s="154"/>
      <c r="K734" s="153"/>
    </row>
    <row r="735" spans="1:11" ht="15.75" customHeight="1" x14ac:dyDescent="0.25">
      <c r="A735" s="148"/>
      <c r="B735" s="151"/>
      <c r="C735" s="151"/>
      <c r="D735" s="148"/>
      <c r="E735" s="148"/>
      <c r="F735" s="148"/>
      <c r="G735" s="148"/>
      <c r="H735" s="152"/>
      <c r="I735" s="153"/>
      <c r="J735" s="154"/>
      <c r="K735" s="153"/>
    </row>
    <row r="736" spans="1:11" ht="15.75" customHeight="1" x14ac:dyDescent="0.25">
      <c r="A736" s="148"/>
      <c r="B736" s="151"/>
      <c r="C736" s="151"/>
      <c r="D736" s="148"/>
      <c r="E736" s="148"/>
      <c r="F736" s="148"/>
      <c r="G736" s="148"/>
      <c r="H736" s="152"/>
      <c r="I736" s="153"/>
      <c r="J736" s="154"/>
      <c r="K736" s="153"/>
    </row>
    <row r="737" spans="1:11" ht="15.75" customHeight="1" x14ac:dyDescent="0.25">
      <c r="A737" s="148"/>
      <c r="B737" s="151"/>
      <c r="C737" s="151"/>
      <c r="D737" s="148"/>
      <c r="E737" s="148"/>
      <c r="F737" s="148"/>
      <c r="G737" s="148"/>
      <c r="H737" s="152"/>
      <c r="I737" s="153"/>
      <c r="J737" s="154"/>
      <c r="K737" s="153"/>
    </row>
    <row r="738" spans="1:11" ht="15.75" customHeight="1" x14ac:dyDescent="0.25">
      <c r="A738" s="148"/>
      <c r="B738" s="151"/>
      <c r="C738" s="151"/>
      <c r="D738" s="148"/>
      <c r="E738" s="148"/>
      <c r="F738" s="148"/>
      <c r="G738" s="148"/>
      <c r="H738" s="152"/>
      <c r="I738" s="153"/>
      <c r="J738" s="154"/>
      <c r="K738" s="153"/>
    </row>
    <row r="739" spans="1:11" ht="15.75" customHeight="1" x14ac:dyDescent="0.25">
      <c r="A739" s="148"/>
      <c r="B739" s="151"/>
      <c r="C739" s="151"/>
      <c r="D739" s="148"/>
      <c r="E739" s="148"/>
      <c r="F739" s="148"/>
      <c r="G739" s="148"/>
      <c r="H739" s="152"/>
      <c r="I739" s="153"/>
      <c r="J739" s="154"/>
      <c r="K739" s="153"/>
    </row>
    <row r="740" spans="1:11" ht="15.75" customHeight="1" x14ac:dyDescent="0.25">
      <c r="A740" s="148"/>
      <c r="B740" s="151"/>
      <c r="C740" s="151"/>
      <c r="D740" s="148"/>
      <c r="E740" s="148"/>
      <c r="F740" s="148"/>
      <c r="G740" s="148"/>
      <c r="H740" s="152"/>
      <c r="I740" s="153"/>
      <c r="J740" s="154"/>
      <c r="K740" s="153"/>
    </row>
    <row r="741" spans="1:11" ht="15.75" customHeight="1" x14ac:dyDescent="0.25">
      <c r="A741" s="148"/>
      <c r="B741" s="151"/>
      <c r="C741" s="151"/>
      <c r="D741" s="148"/>
      <c r="E741" s="148"/>
      <c r="F741" s="148"/>
      <c r="G741" s="148"/>
      <c r="H741" s="152"/>
      <c r="I741" s="153"/>
      <c r="J741" s="154"/>
      <c r="K741" s="153"/>
    </row>
    <row r="742" spans="1:11" ht="15.75" customHeight="1" x14ac:dyDescent="0.25">
      <c r="A742" s="148"/>
      <c r="B742" s="151"/>
      <c r="C742" s="151"/>
      <c r="D742" s="148"/>
      <c r="E742" s="148"/>
      <c r="F742" s="148"/>
      <c r="G742" s="148"/>
      <c r="H742" s="152"/>
      <c r="I742" s="153"/>
      <c r="J742" s="154"/>
      <c r="K742" s="153"/>
    </row>
    <row r="743" spans="1:11" ht="15.75" customHeight="1" x14ac:dyDescent="0.25">
      <c r="A743" s="148"/>
      <c r="B743" s="151"/>
      <c r="C743" s="151"/>
      <c r="D743" s="148"/>
      <c r="E743" s="148"/>
      <c r="F743" s="148"/>
      <c r="G743" s="148"/>
      <c r="H743" s="152"/>
      <c r="I743" s="153"/>
      <c r="J743" s="154"/>
      <c r="K743" s="153"/>
    </row>
    <row r="744" spans="1:11" ht="15.75" customHeight="1" x14ac:dyDescent="0.25">
      <c r="A744" s="148"/>
      <c r="B744" s="151"/>
      <c r="C744" s="151"/>
      <c r="D744" s="148"/>
      <c r="E744" s="148"/>
      <c r="F744" s="148"/>
      <c r="G744" s="148"/>
      <c r="H744" s="152"/>
      <c r="I744" s="153"/>
      <c r="J744" s="154"/>
      <c r="K744" s="153"/>
    </row>
    <row r="745" spans="1:11" ht="15.75" customHeight="1" x14ac:dyDescent="0.25">
      <c r="A745" s="148"/>
      <c r="B745" s="151"/>
      <c r="C745" s="151"/>
      <c r="D745" s="148"/>
      <c r="E745" s="148"/>
      <c r="F745" s="148"/>
      <c r="G745" s="148"/>
      <c r="H745" s="152"/>
      <c r="I745" s="153"/>
      <c r="J745" s="154"/>
      <c r="K745" s="153"/>
    </row>
    <row r="746" spans="1:11" ht="15.75" customHeight="1" x14ac:dyDescent="0.25">
      <c r="A746" s="148"/>
      <c r="B746" s="151"/>
      <c r="C746" s="151"/>
      <c r="D746" s="148"/>
      <c r="E746" s="148"/>
      <c r="F746" s="148"/>
      <c r="G746" s="148"/>
      <c r="H746" s="152"/>
      <c r="I746" s="153"/>
      <c r="J746" s="154"/>
      <c r="K746" s="153"/>
    </row>
    <row r="747" spans="1:11" ht="15.75" customHeight="1" x14ac:dyDescent="0.25">
      <c r="A747" s="148"/>
      <c r="B747" s="151"/>
      <c r="C747" s="151"/>
      <c r="D747" s="148"/>
      <c r="E747" s="148"/>
      <c r="F747" s="148"/>
      <c r="G747" s="148"/>
      <c r="H747" s="152"/>
      <c r="I747" s="153"/>
      <c r="J747" s="154"/>
      <c r="K747" s="153"/>
    </row>
    <row r="748" spans="1:11" ht="15.75" customHeight="1" x14ac:dyDescent="0.25">
      <c r="A748" s="148"/>
      <c r="B748" s="151"/>
      <c r="C748" s="151"/>
      <c r="D748" s="148"/>
      <c r="E748" s="148"/>
      <c r="F748" s="148"/>
      <c r="G748" s="148"/>
      <c r="H748" s="152"/>
      <c r="I748" s="153"/>
      <c r="J748" s="154"/>
      <c r="K748" s="153"/>
    </row>
    <row r="749" spans="1:11" ht="15.75" customHeight="1" x14ac:dyDescent="0.25">
      <c r="A749" s="148"/>
      <c r="B749" s="151"/>
      <c r="C749" s="151"/>
      <c r="D749" s="148"/>
      <c r="E749" s="148"/>
      <c r="F749" s="148"/>
      <c r="G749" s="148"/>
      <c r="H749" s="152"/>
      <c r="I749" s="153"/>
      <c r="J749" s="154"/>
      <c r="K749" s="153"/>
    </row>
    <row r="750" spans="1:11" ht="15.75" customHeight="1" x14ac:dyDescent="0.25">
      <c r="A750" s="148"/>
      <c r="B750" s="151"/>
      <c r="C750" s="151"/>
      <c r="D750" s="148"/>
      <c r="E750" s="148"/>
      <c r="F750" s="148"/>
      <c r="G750" s="148"/>
      <c r="H750" s="152"/>
      <c r="I750" s="153"/>
      <c r="J750" s="154"/>
      <c r="K750" s="153"/>
    </row>
    <row r="751" spans="1:11" ht="15.75" customHeight="1" x14ac:dyDescent="0.25">
      <c r="A751" s="148"/>
      <c r="B751" s="151"/>
      <c r="C751" s="151"/>
      <c r="D751" s="148"/>
      <c r="E751" s="148"/>
      <c r="F751" s="148"/>
      <c r="G751" s="148"/>
      <c r="H751" s="152"/>
      <c r="I751" s="153"/>
      <c r="J751" s="154"/>
      <c r="K751" s="153"/>
    </row>
    <row r="752" spans="1:11" ht="15.75" customHeight="1" x14ac:dyDescent="0.25">
      <c r="A752" s="148"/>
      <c r="B752" s="151"/>
      <c r="C752" s="151"/>
      <c r="D752" s="148"/>
      <c r="E752" s="148"/>
      <c r="F752" s="148"/>
      <c r="G752" s="148"/>
      <c r="H752" s="152"/>
      <c r="I752" s="153"/>
      <c r="J752" s="154"/>
      <c r="K752" s="153"/>
    </row>
    <row r="753" spans="1:11" ht="15.75" customHeight="1" x14ac:dyDescent="0.25">
      <c r="A753" s="148"/>
      <c r="B753" s="151"/>
      <c r="C753" s="151"/>
      <c r="D753" s="148"/>
      <c r="E753" s="148"/>
      <c r="F753" s="148"/>
      <c r="G753" s="148"/>
      <c r="H753" s="152"/>
      <c r="I753" s="153"/>
      <c r="J753" s="154"/>
      <c r="K753" s="153"/>
    </row>
    <row r="754" spans="1:11" ht="15.75" customHeight="1" x14ac:dyDescent="0.25">
      <c r="A754" s="148"/>
      <c r="B754" s="151"/>
      <c r="C754" s="151"/>
      <c r="D754" s="148"/>
      <c r="E754" s="148"/>
      <c r="F754" s="148"/>
      <c r="G754" s="148"/>
      <c r="H754" s="152"/>
      <c r="I754" s="153"/>
      <c r="J754" s="154"/>
      <c r="K754" s="153"/>
    </row>
    <row r="755" spans="1:11" ht="15.75" customHeight="1" x14ac:dyDescent="0.25">
      <c r="A755" s="148"/>
      <c r="B755" s="151"/>
      <c r="C755" s="151"/>
      <c r="D755" s="148"/>
      <c r="E755" s="148"/>
      <c r="F755" s="148"/>
      <c r="G755" s="148"/>
      <c r="H755" s="152"/>
      <c r="I755" s="153"/>
      <c r="J755" s="154"/>
      <c r="K755" s="153"/>
    </row>
    <row r="756" spans="1:11" ht="15.75" customHeight="1" x14ac:dyDescent="0.25">
      <c r="A756" s="148"/>
      <c r="B756" s="151"/>
      <c r="C756" s="151"/>
      <c r="D756" s="148"/>
      <c r="E756" s="148"/>
      <c r="F756" s="148"/>
      <c r="G756" s="148"/>
      <c r="H756" s="152"/>
      <c r="I756" s="153"/>
      <c r="J756" s="154"/>
      <c r="K756" s="153"/>
    </row>
    <row r="757" spans="1:11" ht="15.75" customHeight="1" x14ac:dyDescent="0.25">
      <c r="A757" s="148"/>
      <c r="B757" s="151"/>
      <c r="C757" s="151"/>
      <c r="D757" s="148"/>
      <c r="E757" s="148"/>
      <c r="F757" s="148"/>
      <c r="G757" s="148"/>
      <c r="H757" s="152"/>
      <c r="I757" s="153"/>
      <c r="J757" s="154"/>
      <c r="K757" s="153"/>
    </row>
    <row r="758" spans="1:11" ht="15.75" customHeight="1" x14ac:dyDescent="0.25">
      <c r="A758" s="148"/>
      <c r="B758" s="151"/>
      <c r="C758" s="151"/>
      <c r="D758" s="148"/>
      <c r="E758" s="148"/>
      <c r="F758" s="148"/>
      <c r="G758" s="148"/>
      <c r="H758" s="152"/>
      <c r="I758" s="153"/>
      <c r="J758" s="154"/>
      <c r="K758" s="153"/>
    </row>
    <row r="759" spans="1:11" ht="15.75" customHeight="1" x14ac:dyDescent="0.25">
      <c r="A759" s="148"/>
      <c r="B759" s="151"/>
      <c r="C759" s="151"/>
      <c r="D759" s="148"/>
      <c r="E759" s="148"/>
      <c r="F759" s="148"/>
      <c r="G759" s="148"/>
      <c r="H759" s="152"/>
      <c r="I759" s="153"/>
      <c r="J759" s="154"/>
      <c r="K759" s="153"/>
    </row>
    <row r="760" spans="1:11" ht="15.75" customHeight="1" x14ac:dyDescent="0.25">
      <c r="A760" s="148"/>
      <c r="B760" s="151"/>
      <c r="C760" s="151"/>
      <c r="D760" s="148"/>
      <c r="E760" s="148"/>
      <c r="F760" s="148"/>
      <c r="G760" s="148"/>
      <c r="H760" s="152"/>
      <c r="I760" s="153"/>
      <c r="J760" s="154"/>
      <c r="K760" s="153"/>
    </row>
    <row r="761" spans="1:11" ht="15.75" customHeight="1" x14ac:dyDescent="0.25">
      <c r="A761" s="148"/>
      <c r="B761" s="151"/>
      <c r="C761" s="151"/>
      <c r="D761" s="148"/>
      <c r="E761" s="148"/>
      <c r="F761" s="148"/>
      <c r="G761" s="148"/>
      <c r="H761" s="152"/>
      <c r="I761" s="153"/>
      <c r="J761" s="154"/>
      <c r="K761" s="153"/>
    </row>
    <row r="762" spans="1:11" ht="15.75" customHeight="1" x14ac:dyDescent="0.25">
      <c r="A762" s="148"/>
      <c r="B762" s="151"/>
      <c r="C762" s="151"/>
      <c r="D762" s="148"/>
      <c r="E762" s="148"/>
      <c r="F762" s="148"/>
      <c r="G762" s="148"/>
      <c r="H762" s="152"/>
      <c r="I762" s="153"/>
      <c r="J762" s="154"/>
      <c r="K762" s="153"/>
    </row>
    <row r="763" spans="1:11" ht="15.75" customHeight="1" x14ac:dyDescent="0.25">
      <c r="A763" s="148"/>
      <c r="B763" s="151"/>
      <c r="C763" s="151"/>
      <c r="D763" s="148"/>
      <c r="E763" s="148"/>
      <c r="F763" s="148"/>
      <c r="G763" s="148"/>
      <c r="H763" s="152"/>
      <c r="I763" s="153"/>
      <c r="J763" s="154"/>
      <c r="K763" s="153"/>
    </row>
    <row r="764" spans="1:11" ht="15.75" customHeight="1" x14ac:dyDescent="0.25">
      <c r="A764" s="148"/>
      <c r="B764" s="151"/>
      <c r="C764" s="151"/>
      <c r="D764" s="148"/>
      <c r="E764" s="148"/>
      <c r="F764" s="148"/>
      <c r="G764" s="148"/>
      <c r="H764" s="152"/>
      <c r="I764" s="153"/>
      <c r="J764" s="154"/>
      <c r="K764" s="153"/>
    </row>
    <row r="765" spans="1:11" ht="15.75" customHeight="1" x14ac:dyDescent="0.25">
      <c r="A765" s="148"/>
      <c r="B765" s="151"/>
      <c r="C765" s="151"/>
      <c r="D765" s="148"/>
      <c r="E765" s="148"/>
      <c r="F765" s="148"/>
      <c r="G765" s="148"/>
      <c r="H765" s="152"/>
      <c r="I765" s="153"/>
      <c r="J765" s="154"/>
      <c r="K765" s="153"/>
    </row>
    <row r="766" spans="1:11" ht="15.75" customHeight="1" x14ac:dyDescent="0.25">
      <c r="A766" s="148"/>
      <c r="B766" s="151"/>
      <c r="C766" s="151"/>
      <c r="D766" s="148"/>
      <c r="E766" s="148"/>
      <c r="F766" s="148"/>
      <c r="G766" s="148"/>
      <c r="H766" s="152"/>
      <c r="I766" s="153"/>
      <c r="J766" s="154"/>
      <c r="K766" s="153"/>
    </row>
    <row r="767" spans="1:11" ht="15.75" customHeight="1" x14ac:dyDescent="0.25">
      <c r="A767" s="148"/>
      <c r="B767" s="151"/>
      <c r="C767" s="151"/>
      <c r="D767" s="148"/>
      <c r="E767" s="148"/>
      <c r="F767" s="148"/>
      <c r="G767" s="148"/>
      <c r="H767" s="152"/>
      <c r="I767" s="153"/>
      <c r="J767" s="154"/>
      <c r="K767" s="153"/>
    </row>
    <row r="768" spans="1:11" ht="15.75" customHeight="1" x14ac:dyDescent="0.25">
      <c r="A768" s="148"/>
      <c r="B768" s="151"/>
      <c r="C768" s="151"/>
      <c r="D768" s="148"/>
      <c r="E768" s="148"/>
      <c r="F768" s="148"/>
      <c r="G768" s="148"/>
      <c r="H768" s="152"/>
      <c r="I768" s="153"/>
      <c r="J768" s="154"/>
      <c r="K768" s="153"/>
    </row>
    <row r="769" spans="1:11" ht="15.75" customHeight="1" x14ac:dyDescent="0.25">
      <c r="A769" s="148"/>
      <c r="B769" s="151"/>
      <c r="C769" s="151"/>
      <c r="D769" s="148"/>
      <c r="E769" s="148"/>
      <c r="F769" s="148"/>
      <c r="G769" s="148"/>
      <c r="H769" s="152"/>
      <c r="I769" s="153"/>
      <c r="J769" s="154"/>
      <c r="K769" s="153"/>
    </row>
    <row r="770" spans="1:11" ht="15.75" customHeight="1" x14ac:dyDescent="0.25">
      <c r="A770" s="148"/>
      <c r="B770" s="151"/>
      <c r="C770" s="151"/>
      <c r="D770" s="148"/>
      <c r="E770" s="148"/>
      <c r="F770" s="148"/>
      <c r="G770" s="148"/>
      <c r="H770" s="152"/>
      <c r="I770" s="153"/>
      <c r="J770" s="154"/>
      <c r="K770" s="153"/>
    </row>
    <row r="771" spans="1:11" ht="15.75" customHeight="1" x14ac:dyDescent="0.25">
      <c r="A771" s="148"/>
      <c r="B771" s="151"/>
      <c r="C771" s="151"/>
      <c r="D771" s="148"/>
      <c r="E771" s="148"/>
      <c r="F771" s="148"/>
      <c r="G771" s="148"/>
      <c r="H771" s="152"/>
      <c r="I771" s="153"/>
      <c r="J771" s="154"/>
      <c r="K771" s="153"/>
    </row>
    <row r="772" spans="1:11" ht="15.75" customHeight="1" x14ac:dyDescent="0.25">
      <c r="A772" s="148"/>
      <c r="B772" s="151"/>
      <c r="C772" s="151"/>
      <c r="D772" s="148"/>
      <c r="E772" s="148"/>
      <c r="F772" s="148"/>
      <c r="G772" s="148"/>
      <c r="H772" s="152"/>
      <c r="I772" s="153"/>
      <c r="J772" s="154"/>
      <c r="K772" s="153"/>
    </row>
    <row r="773" spans="1:11" ht="15.75" customHeight="1" x14ac:dyDescent="0.25">
      <c r="A773" s="148"/>
      <c r="B773" s="151"/>
      <c r="C773" s="151"/>
      <c r="D773" s="148"/>
      <c r="E773" s="148"/>
      <c r="F773" s="148"/>
      <c r="G773" s="148"/>
      <c r="H773" s="152"/>
      <c r="I773" s="153"/>
      <c r="J773" s="154"/>
      <c r="K773" s="153"/>
    </row>
    <row r="774" spans="1:11" ht="15.75" customHeight="1" x14ac:dyDescent="0.25">
      <c r="A774" s="148"/>
      <c r="B774" s="151"/>
      <c r="C774" s="151"/>
      <c r="D774" s="148"/>
      <c r="E774" s="148"/>
      <c r="F774" s="148"/>
      <c r="G774" s="148"/>
      <c r="H774" s="152"/>
      <c r="I774" s="153"/>
      <c r="J774" s="154"/>
      <c r="K774" s="153"/>
    </row>
    <row r="775" spans="1:11" ht="15.75" customHeight="1" x14ac:dyDescent="0.25">
      <c r="A775" s="148"/>
      <c r="B775" s="151"/>
      <c r="C775" s="151"/>
      <c r="D775" s="148"/>
      <c r="E775" s="148"/>
      <c r="F775" s="148"/>
      <c r="G775" s="148"/>
      <c r="H775" s="152"/>
      <c r="I775" s="153"/>
      <c r="J775" s="154"/>
      <c r="K775" s="153"/>
    </row>
    <row r="776" spans="1:11" ht="15.75" customHeight="1" x14ac:dyDescent="0.25">
      <c r="A776" s="148"/>
      <c r="B776" s="151"/>
      <c r="C776" s="151"/>
      <c r="D776" s="148"/>
      <c r="E776" s="148"/>
      <c r="F776" s="148"/>
      <c r="G776" s="148"/>
      <c r="H776" s="152"/>
      <c r="I776" s="153"/>
      <c r="J776" s="154"/>
      <c r="K776" s="153"/>
    </row>
    <row r="777" spans="1:11" ht="15.75" customHeight="1" x14ac:dyDescent="0.25">
      <c r="A777" s="148"/>
      <c r="B777" s="151"/>
      <c r="C777" s="151"/>
      <c r="D777" s="148"/>
      <c r="E777" s="148"/>
      <c r="F777" s="148"/>
      <c r="G777" s="148"/>
      <c r="H777" s="152"/>
      <c r="I777" s="153"/>
      <c r="J777" s="154"/>
      <c r="K777" s="153"/>
    </row>
    <row r="778" spans="1:11" ht="15.75" customHeight="1" x14ac:dyDescent="0.25">
      <c r="A778" s="148"/>
      <c r="B778" s="151"/>
      <c r="C778" s="151"/>
      <c r="D778" s="148"/>
      <c r="E778" s="148"/>
      <c r="F778" s="148"/>
      <c r="G778" s="148"/>
      <c r="H778" s="152"/>
      <c r="I778" s="153"/>
      <c r="J778" s="154"/>
      <c r="K778" s="153"/>
    </row>
    <row r="779" spans="1:11" ht="15.75" customHeight="1" x14ac:dyDescent="0.25">
      <c r="A779" s="148"/>
      <c r="B779" s="151"/>
      <c r="C779" s="151"/>
      <c r="D779" s="148"/>
      <c r="E779" s="148"/>
      <c r="F779" s="148"/>
      <c r="G779" s="148"/>
      <c r="H779" s="152"/>
      <c r="I779" s="153"/>
      <c r="J779" s="154"/>
      <c r="K779" s="153"/>
    </row>
    <row r="780" spans="1:11" ht="15.75" customHeight="1" x14ac:dyDescent="0.25">
      <c r="A780" s="148"/>
      <c r="B780" s="151"/>
      <c r="C780" s="151"/>
      <c r="D780" s="148"/>
      <c r="E780" s="148"/>
      <c r="F780" s="148"/>
      <c r="G780" s="148"/>
      <c r="H780" s="152"/>
      <c r="I780" s="153"/>
      <c r="J780" s="154"/>
      <c r="K780" s="153"/>
    </row>
    <row r="781" spans="1:11" ht="15.75" customHeight="1" x14ac:dyDescent="0.25">
      <c r="A781" s="148"/>
      <c r="B781" s="151"/>
      <c r="C781" s="151"/>
      <c r="D781" s="148"/>
      <c r="E781" s="148"/>
      <c r="F781" s="148"/>
      <c r="G781" s="148"/>
      <c r="H781" s="152"/>
      <c r="I781" s="153"/>
      <c r="J781" s="154"/>
      <c r="K781" s="153"/>
    </row>
    <row r="782" spans="1:11" ht="15.75" customHeight="1" x14ac:dyDescent="0.25">
      <c r="A782" s="148"/>
      <c r="B782" s="151"/>
      <c r="C782" s="151"/>
      <c r="D782" s="148"/>
      <c r="E782" s="148"/>
      <c r="F782" s="148"/>
      <c r="G782" s="148"/>
      <c r="H782" s="152"/>
      <c r="I782" s="153"/>
      <c r="J782" s="154"/>
      <c r="K782" s="153"/>
    </row>
    <row r="783" spans="1:11" ht="15.75" customHeight="1" x14ac:dyDescent="0.25">
      <c r="A783" s="148"/>
      <c r="B783" s="151"/>
      <c r="C783" s="151"/>
      <c r="D783" s="148"/>
      <c r="E783" s="148"/>
      <c r="F783" s="148"/>
      <c r="G783" s="148"/>
      <c r="H783" s="152"/>
      <c r="I783" s="153"/>
      <c r="J783" s="154"/>
      <c r="K783" s="153"/>
    </row>
    <row r="784" spans="1:11" ht="15.75" customHeight="1" x14ac:dyDescent="0.25">
      <c r="A784" s="148"/>
      <c r="B784" s="151"/>
      <c r="C784" s="151"/>
      <c r="D784" s="148"/>
      <c r="E784" s="148"/>
      <c r="F784" s="148"/>
      <c r="G784" s="148"/>
      <c r="H784" s="152"/>
      <c r="I784" s="153"/>
      <c r="J784" s="154"/>
      <c r="K784" s="153"/>
    </row>
    <row r="785" spans="1:11" ht="15.75" customHeight="1" x14ac:dyDescent="0.25">
      <c r="A785" s="148"/>
      <c r="B785" s="151"/>
      <c r="C785" s="151"/>
      <c r="D785" s="148"/>
      <c r="E785" s="148"/>
      <c r="F785" s="148"/>
      <c r="G785" s="148"/>
      <c r="H785" s="152"/>
      <c r="I785" s="153"/>
      <c r="J785" s="154"/>
      <c r="K785" s="153"/>
    </row>
    <row r="786" spans="1:11" ht="15.75" customHeight="1" x14ac:dyDescent="0.25">
      <c r="A786" s="148"/>
      <c r="B786" s="151"/>
      <c r="C786" s="151"/>
      <c r="D786" s="148"/>
      <c r="E786" s="148"/>
      <c r="F786" s="148"/>
      <c r="G786" s="148"/>
      <c r="H786" s="152"/>
      <c r="I786" s="153"/>
      <c r="J786" s="154"/>
      <c r="K786" s="153"/>
    </row>
    <row r="787" spans="1:11" ht="15.75" customHeight="1" x14ac:dyDescent="0.25">
      <c r="A787" s="148"/>
      <c r="B787" s="151"/>
      <c r="C787" s="151"/>
      <c r="D787" s="148"/>
      <c r="E787" s="148"/>
      <c r="F787" s="148"/>
      <c r="G787" s="148"/>
      <c r="H787" s="152"/>
      <c r="I787" s="153"/>
      <c r="J787" s="154"/>
      <c r="K787" s="153"/>
    </row>
    <row r="788" spans="1:11" ht="15.75" customHeight="1" x14ac:dyDescent="0.25">
      <c r="A788" s="148"/>
      <c r="B788" s="151"/>
      <c r="C788" s="151"/>
      <c r="D788" s="148"/>
      <c r="E788" s="148"/>
      <c r="F788" s="148"/>
      <c r="G788" s="148"/>
      <c r="H788" s="152"/>
      <c r="I788" s="153"/>
      <c r="J788" s="154"/>
      <c r="K788" s="153"/>
    </row>
    <row r="789" spans="1:11" ht="15.75" customHeight="1" x14ac:dyDescent="0.25">
      <c r="A789" s="148"/>
      <c r="B789" s="151"/>
      <c r="C789" s="151"/>
      <c r="D789" s="148"/>
      <c r="E789" s="148"/>
      <c r="F789" s="148"/>
      <c r="G789" s="148"/>
      <c r="H789" s="152"/>
      <c r="I789" s="153"/>
      <c r="J789" s="154"/>
      <c r="K789" s="153"/>
    </row>
    <row r="790" spans="1:11" ht="15.75" customHeight="1" x14ac:dyDescent="0.25">
      <c r="A790" s="148"/>
      <c r="B790" s="151"/>
      <c r="C790" s="151"/>
      <c r="D790" s="148"/>
      <c r="E790" s="148"/>
      <c r="F790" s="148"/>
      <c r="G790" s="148"/>
      <c r="H790" s="152"/>
      <c r="I790" s="153"/>
      <c r="J790" s="154"/>
      <c r="K790" s="153"/>
    </row>
    <row r="791" spans="1:11" ht="15.75" customHeight="1" x14ac:dyDescent="0.25">
      <c r="A791" s="148"/>
      <c r="B791" s="151"/>
      <c r="C791" s="151"/>
      <c r="D791" s="148"/>
      <c r="E791" s="148"/>
      <c r="F791" s="148"/>
      <c r="G791" s="148"/>
      <c r="H791" s="152"/>
      <c r="I791" s="153"/>
      <c r="J791" s="154"/>
      <c r="K791" s="153"/>
    </row>
    <row r="792" spans="1:11" ht="15.75" customHeight="1" x14ac:dyDescent="0.25">
      <c r="A792" s="148"/>
      <c r="B792" s="151"/>
      <c r="C792" s="151"/>
      <c r="D792" s="148"/>
      <c r="E792" s="148"/>
      <c r="F792" s="148"/>
      <c r="G792" s="148"/>
      <c r="H792" s="152"/>
      <c r="I792" s="153"/>
      <c r="J792" s="154"/>
      <c r="K792" s="153"/>
    </row>
    <row r="793" spans="1:11" ht="15.75" customHeight="1" x14ac:dyDescent="0.25">
      <c r="A793" s="148"/>
      <c r="B793" s="151"/>
      <c r="C793" s="151"/>
      <c r="D793" s="148"/>
      <c r="E793" s="148"/>
      <c r="F793" s="148"/>
      <c r="G793" s="148"/>
      <c r="H793" s="152"/>
      <c r="I793" s="153"/>
      <c r="J793" s="154"/>
      <c r="K793" s="153"/>
    </row>
    <row r="794" spans="1:11" ht="15.75" customHeight="1" x14ac:dyDescent="0.25">
      <c r="A794" s="148"/>
      <c r="B794" s="151"/>
      <c r="C794" s="151"/>
      <c r="D794" s="148"/>
      <c r="E794" s="148"/>
      <c r="F794" s="148"/>
      <c r="G794" s="148"/>
      <c r="H794" s="152"/>
      <c r="I794" s="153"/>
      <c r="J794" s="154"/>
      <c r="K794" s="153"/>
    </row>
    <row r="795" spans="1:11" ht="15.75" customHeight="1" x14ac:dyDescent="0.25">
      <c r="A795" s="148"/>
      <c r="B795" s="151"/>
      <c r="C795" s="151"/>
      <c r="D795" s="148"/>
      <c r="E795" s="148"/>
      <c r="F795" s="148"/>
      <c r="G795" s="148"/>
      <c r="H795" s="152"/>
      <c r="I795" s="153"/>
      <c r="J795" s="154"/>
      <c r="K795" s="153"/>
    </row>
    <row r="796" spans="1:11" ht="15.75" customHeight="1" x14ac:dyDescent="0.25">
      <c r="A796" s="148"/>
      <c r="B796" s="151"/>
      <c r="C796" s="151"/>
      <c r="D796" s="148"/>
      <c r="E796" s="148"/>
      <c r="F796" s="148"/>
      <c r="G796" s="148"/>
      <c r="H796" s="152"/>
      <c r="I796" s="153"/>
      <c r="J796" s="154"/>
      <c r="K796" s="153"/>
    </row>
    <row r="797" spans="1:11" ht="15.75" customHeight="1" x14ac:dyDescent="0.25">
      <c r="A797" s="148"/>
      <c r="B797" s="151"/>
      <c r="C797" s="151"/>
      <c r="D797" s="148"/>
      <c r="E797" s="148"/>
      <c r="F797" s="148"/>
      <c r="G797" s="148"/>
      <c r="H797" s="152"/>
      <c r="I797" s="153"/>
      <c r="J797" s="154"/>
      <c r="K797" s="153"/>
    </row>
    <row r="798" spans="1:11" ht="15.75" customHeight="1" x14ac:dyDescent="0.25">
      <c r="A798" s="148"/>
      <c r="B798" s="151"/>
      <c r="C798" s="151"/>
      <c r="D798" s="148"/>
      <c r="E798" s="148"/>
      <c r="F798" s="148"/>
      <c r="G798" s="148"/>
      <c r="H798" s="152"/>
      <c r="I798" s="153"/>
      <c r="J798" s="154"/>
      <c r="K798" s="153"/>
    </row>
    <row r="799" spans="1:11" ht="15.75" customHeight="1" x14ac:dyDescent="0.25">
      <c r="A799" s="148"/>
      <c r="B799" s="151"/>
      <c r="C799" s="151"/>
      <c r="D799" s="148"/>
      <c r="E799" s="148"/>
      <c r="F799" s="148"/>
      <c r="G799" s="148"/>
      <c r="H799" s="152"/>
      <c r="I799" s="153"/>
      <c r="J799" s="154"/>
      <c r="K799" s="153"/>
    </row>
    <row r="800" spans="1:11" ht="15.75" customHeight="1" x14ac:dyDescent="0.25">
      <c r="A800" s="148"/>
      <c r="B800" s="151"/>
      <c r="C800" s="151"/>
      <c r="D800" s="148"/>
      <c r="E800" s="148"/>
      <c r="F800" s="148"/>
      <c r="G800" s="148"/>
      <c r="H800" s="152"/>
      <c r="I800" s="153"/>
      <c r="J800" s="154"/>
      <c r="K800" s="153"/>
    </row>
    <row r="801" spans="1:11" ht="15.75" customHeight="1" x14ac:dyDescent="0.25">
      <c r="A801" s="148"/>
      <c r="B801" s="151"/>
      <c r="C801" s="151"/>
      <c r="D801" s="148"/>
      <c r="E801" s="148"/>
      <c r="F801" s="148"/>
      <c r="G801" s="148"/>
      <c r="H801" s="152"/>
      <c r="I801" s="153"/>
      <c r="J801" s="154"/>
      <c r="K801" s="153"/>
    </row>
    <row r="802" spans="1:11" ht="15.75" customHeight="1" x14ac:dyDescent="0.25">
      <c r="A802" s="148"/>
      <c r="B802" s="151"/>
      <c r="C802" s="151"/>
      <c r="D802" s="148"/>
      <c r="E802" s="148"/>
      <c r="F802" s="148"/>
      <c r="G802" s="148"/>
      <c r="H802" s="152"/>
      <c r="I802" s="153"/>
      <c r="J802" s="154"/>
      <c r="K802" s="153"/>
    </row>
    <row r="803" spans="1:11" ht="15.75" customHeight="1" x14ac:dyDescent="0.25">
      <c r="A803" s="148"/>
      <c r="B803" s="151"/>
      <c r="C803" s="151"/>
      <c r="D803" s="148"/>
      <c r="E803" s="148"/>
      <c r="F803" s="148"/>
      <c r="G803" s="148"/>
      <c r="H803" s="152"/>
      <c r="I803" s="153"/>
      <c r="J803" s="154"/>
      <c r="K803" s="153"/>
    </row>
    <row r="804" spans="1:11" ht="15.75" customHeight="1" x14ac:dyDescent="0.25">
      <c r="A804" s="148"/>
      <c r="B804" s="151"/>
      <c r="C804" s="151"/>
      <c r="D804" s="148"/>
      <c r="E804" s="148"/>
      <c r="F804" s="148"/>
      <c r="G804" s="148"/>
      <c r="H804" s="152"/>
      <c r="I804" s="153"/>
      <c r="J804" s="154"/>
      <c r="K804" s="153"/>
    </row>
    <row r="805" spans="1:11" ht="15.75" customHeight="1" x14ac:dyDescent="0.25">
      <c r="A805" s="148"/>
      <c r="B805" s="151"/>
      <c r="C805" s="151"/>
      <c r="D805" s="148"/>
      <c r="E805" s="148"/>
      <c r="F805" s="148"/>
      <c r="G805" s="148"/>
      <c r="H805" s="152"/>
      <c r="I805" s="153"/>
      <c r="J805" s="154"/>
      <c r="K805" s="153"/>
    </row>
    <row r="806" spans="1:11" ht="15.75" customHeight="1" x14ac:dyDescent="0.25">
      <c r="A806" s="148"/>
      <c r="B806" s="151"/>
      <c r="C806" s="151"/>
      <c r="D806" s="148"/>
      <c r="E806" s="148"/>
      <c r="F806" s="148"/>
      <c r="G806" s="148"/>
      <c r="H806" s="152"/>
      <c r="I806" s="153"/>
      <c r="J806" s="154"/>
      <c r="K806" s="153"/>
    </row>
    <row r="807" spans="1:11" ht="15.75" customHeight="1" x14ac:dyDescent="0.25">
      <c r="A807" s="148"/>
      <c r="B807" s="151"/>
      <c r="C807" s="151"/>
      <c r="D807" s="148"/>
      <c r="E807" s="148"/>
      <c r="F807" s="148"/>
      <c r="G807" s="148"/>
      <c r="H807" s="152"/>
      <c r="I807" s="153"/>
      <c r="J807" s="154"/>
      <c r="K807" s="153"/>
    </row>
    <row r="808" spans="1:11" ht="15.75" customHeight="1" x14ac:dyDescent="0.25">
      <c r="A808" s="148"/>
      <c r="B808" s="151"/>
      <c r="C808" s="151"/>
      <c r="D808" s="148"/>
      <c r="E808" s="148"/>
      <c r="F808" s="148"/>
      <c r="G808" s="148"/>
      <c r="H808" s="152"/>
      <c r="I808" s="153"/>
      <c r="J808" s="154"/>
      <c r="K808" s="153"/>
    </row>
    <row r="809" spans="1:11" ht="15.75" customHeight="1" x14ac:dyDescent="0.25">
      <c r="A809" s="148"/>
      <c r="B809" s="151"/>
      <c r="C809" s="151"/>
      <c r="D809" s="148"/>
      <c r="E809" s="148"/>
      <c r="F809" s="148"/>
      <c r="G809" s="148"/>
      <c r="H809" s="152"/>
      <c r="I809" s="153"/>
      <c r="J809" s="154"/>
      <c r="K809" s="153"/>
    </row>
    <row r="810" spans="1:11" ht="15.75" customHeight="1" x14ac:dyDescent="0.25">
      <c r="A810" s="148"/>
      <c r="B810" s="151"/>
      <c r="C810" s="151"/>
      <c r="D810" s="148"/>
      <c r="E810" s="148"/>
      <c r="F810" s="148"/>
      <c r="G810" s="148"/>
      <c r="H810" s="152"/>
      <c r="I810" s="153"/>
      <c r="J810" s="154"/>
      <c r="K810" s="153"/>
    </row>
    <row r="811" spans="1:11" ht="15.75" customHeight="1" x14ac:dyDescent="0.25">
      <c r="A811" s="148"/>
      <c r="B811" s="151"/>
      <c r="C811" s="151"/>
      <c r="D811" s="148"/>
      <c r="E811" s="148"/>
      <c r="F811" s="148"/>
      <c r="G811" s="148"/>
      <c r="H811" s="152"/>
      <c r="I811" s="153"/>
      <c r="J811" s="154"/>
      <c r="K811" s="153"/>
    </row>
    <row r="812" spans="1:11" ht="15.75" customHeight="1" x14ac:dyDescent="0.25">
      <c r="A812" s="148"/>
      <c r="B812" s="151"/>
      <c r="C812" s="151"/>
      <c r="D812" s="148"/>
      <c r="E812" s="148"/>
      <c r="F812" s="148"/>
      <c r="G812" s="148"/>
      <c r="H812" s="152"/>
      <c r="I812" s="153"/>
      <c r="J812" s="154"/>
      <c r="K812" s="153"/>
    </row>
    <row r="813" spans="1:11" ht="15.75" customHeight="1" x14ac:dyDescent="0.25">
      <c r="A813" s="148"/>
      <c r="B813" s="151"/>
      <c r="C813" s="151"/>
      <c r="D813" s="148"/>
      <c r="E813" s="148"/>
      <c r="F813" s="148"/>
      <c r="G813" s="148"/>
      <c r="H813" s="152"/>
      <c r="I813" s="153"/>
      <c r="J813" s="154"/>
      <c r="K813" s="153"/>
    </row>
    <row r="814" spans="1:11" ht="15.75" customHeight="1" x14ac:dyDescent="0.25">
      <c r="A814" s="148"/>
      <c r="B814" s="151"/>
      <c r="C814" s="151"/>
      <c r="D814" s="148"/>
      <c r="E814" s="148"/>
      <c r="F814" s="148"/>
      <c r="G814" s="148"/>
      <c r="H814" s="152"/>
      <c r="I814" s="153"/>
      <c r="J814" s="154"/>
      <c r="K814" s="153"/>
    </row>
    <row r="815" spans="1:11" ht="15.75" customHeight="1" x14ac:dyDescent="0.25">
      <c r="A815" s="148"/>
      <c r="B815" s="151"/>
      <c r="C815" s="151"/>
      <c r="D815" s="148"/>
      <c r="E815" s="148"/>
      <c r="F815" s="148"/>
      <c r="G815" s="148"/>
      <c r="H815" s="152"/>
      <c r="I815" s="153"/>
      <c r="J815" s="154"/>
      <c r="K815" s="153"/>
    </row>
    <row r="816" spans="1:11" ht="15.75" customHeight="1" x14ac:dyDescent="0.25">
      <c r="A816" s="148"/>
      <c r="B816" s="151"/>
      <c r="C816" s="151"/>
      <c r="D816" s="148"/>
      <c r="E816" s="148"/>
      <c r="F816" s="148"/>
      <c r="G816" s="148"/>
      <c r="H816" s="152"/>
      <c r="I816" s="153"/>
      <c r="J816" s="154"/>
      <c r="K816" s="153"/>
    </row>
    <row r="817" spans="1:11" ht="15.75" customHeight="1" x14ac:dyDescent="0.25">
      <c r="A817" s="148"/>
      <c r="B817" s="151"/>
      <c r="C817" s="151"/>
      <c r="D817" s="148"/>
      <c r="E817" s="148"/>
      <c r="F817" s="148"/>
      <c r="G817" s="148"/>
      <c r="H817" s="152"/>
      <c r="I817" s="153"/>
      <c r="J817" s="154"/>
      <c r="K817" s="153"/>
    </row>
    <row r="818" spans="1:11" ht="15.75" customHeight="1" x14ac:dyDescent="0.25">
      <c r="A818" s="148"/>
      <c r="B818" s="151"/>
      <c r="C818" s="151"/>
      <c r="D818" s="148"/>
      <c r="E818" s="148"/>
      <c r="F818" s="148"/>
      <c r="G818" s="148"/>
      <c r="H818" s="152"/>
      <c r="I818" s="153"/>
      <c r="J818" s="154"/>
      <c r="K818" s="153"/>
    </row>
    <row r="819" spans="1:11" ht="15.75" customHeight="1" x14ac:dyDescent="0.25">
      <c r="A819" s="148"/>
      <c r="B819" s="151"/>
      <c r="C819" s="151"/>
      <c r="D819" s="148"/>
      <c r="E819" s="148"/>
      <c r="F819" s="148"/>
      <c r="G819" s="148"/>
      <c r="H819" s="152"/>
      <c r="I819" s="153"/>
      <c r="J819" s="154"/>
      <c r="K819" s="153"/>
    </row>
    <row r="820" spans="1:11" ht="15.75" customHeight="1" x14ac:dyDescent="0.25">
      <c r="A820" s="148"/>
      <c r="B820" s="151"/>
      <c r="C820" s="151"/>
      <c r="D820" s="148"/>
      <c r="E820" s="148"/>
      <c r="F820" s="148"/>
      <c r="G820" s="148"/>
      <c r="H820" s="152"/>
      <c r="I820" s="153"/>
      <c r="J820" s="154"/>
      <c r="K820" s="153"/>
    </row>
    <row r="821" spans="1:11" ht="15.75" customHeight="1" x14ac:dyDescent="0.25">
      <c r="A821" s="148"/>
      <c r="B821" s="151"/>
      <c r="C821" s="151"/>
      <c r="D821" s="148"/>
      <c r="E821" s="148"/>
      <c r="F821" s="148"/>
      <c r="G821" s="148"/>
      <c r="H821" s="152"/>
      <c r="I821" s="153"/>
      <c r="J821" s="154"/>
      <c r="K821" s="153"/>
    </row>
    <row r="822" spans="1:11" ht="15.75" customHeight="1" x14ac:dyDescent="0.25">
      <c r="A822" s="148"/>
      <c r="B822" s="151"/>
      <c r="C822" s="151"/>
      <c r="D822" s="148"/>
      <c r="E822" s="148"/>
      <c r="F822" s="148"/>
      <c r="G822" s="148"/>
      <c r="H822" s="152"/>
      <c r="I822" s="153"/>
      <c r="J822" s="154"/>
      <c r="K822" s="153"/>
    </row>
    <row r="823" spans="1:11" ht="15.75" customHeight="1" x14ac:dyDescent="0.25">
      <c r="A823" s="148"/>
      <c r="B823" s="151"/>
      <c r="C823" s="151"/>
      <c r="D823" s="148"/>
      <c r="E823" s="148"/>
      <c r="F823" s="148"/>
      <c r="G823" s="148"/>
      <c r="H823" s="152"/>
      <c r="I823" s="153"/>
      <c r="J823" s="154"/>
      <c r="K823" s="153"/>
    </row>
    <row r="824" spans="1:11" ht="15.75" customHeight="1" x14ac:dyDescent="0.25">
      <c r="A824" s="148"/>
      <c r="B824" s="151"/>
      <c r="C824" s="151"/>
      <c r="D824" s="148"/>
      <c r="E824" s="148"/>
      <c r="F824" s="148"/>
      <c r="G824" s="148"/>
      <c r="H824" s="152"/>
      <c r="I824" s="153"/>
      <c r="J824" s="154"/>
      <c r="K824" s="153"/>
    </row>
    <row r="825" spans="1:11" ht="15.75" customHeight="1" x14ac:dyDescent="0.25">
      <c r="A825" s="148"/>
      <c r="B825" s="151"/>
      <c r="C825" s="151"/>
      <c r="D825" s="148"/>
      <c r="E825" s="148"/>
      <c r="F825" s="148"/>
      <c r="G825" s="148"/>
      <c r="H825" s="152"/>
      <c r="I825" s="153"/>
      <c r="J825" s="154"/>
      <c r="K825" s="153"/>
    </row>
    <row r="826" spans="1:11" ht="15.75" customHeight="1" x14ac:dyDescent="0.25">
      <c r="A826" s="148"/>
      <c r="B826" s="151"/>
      <c r="C826" s="151"/>
      <c r="D826" s="148"/>
      <c r="E826" s="148"/>
      <c r="F826" s="148"/>
      <c r="G826" s="148"/>
      <c r="H826" s="152"/>
      <c r="I826" s="153"/>
      <c r="J826" s="154"/>
      <c r="K826" s="153"/>
    </row>
    <row r="827" spans="1:11" ht="15.75" customHeight="1" x14ac:dyDescent="0.25">
      <c r="A827" s="148"/>
      <c r="B827" s="151"/>
      <c r="C827" s="151"/>
      <c r="D827" s="148"/>
      <c r="E827" s="148"/>
      <c r="F827" s="148"/>
      <c r="G827" s="148"/>
      <c r="H827" s="152"/>
      <c r="I827" s="153"/>
      <c r="J827" s="154"/>
      <c r="K827" s="153"/>
    </row>
    <row r="828" spans="1:11" ht="15.75" customHeight="1" x14ac:dyDescent="0.25">
      <c r="A828" s="148"/>
      <c r="B828" s="151"/>
      <c r="C828" s="151"/>
      <c r="D828" s="148"/>
      <c r="E828" s="148"/>
      <c r="F828" s="148"/>
      <c r="G828" s="148"/>
      <c r="H828" s="152"/>
      <c r="I828" s="153"/>
      <c r="J828" s="154"/>
      <c r="K828" s="153"/>
    </row>
    <row r="829" spans="1:11" ht="15.75" customHeight="1" x14ac:dyDescent="0.25">
      <c r="A829" s="148"/>
      <c r="B829" s="151"/>
      <c r="C829" s="151"/>
      <c r="D829" s="148"/>
      <c r="E829" s="148"/>
      <c r="F829" s="148"/>
      <c r="G829" s="148"/>
      <c r="H829" s="152"/>
      <c r="I829" s="153"/>
      <c r="J829" s="154"/>
      <c r="K829" s="153"/>
    </row>
    <row r="830" spans="1:11" ht="15.75" customHeight="1" x14ac:dyDescent="0.25">
      <c r="A830" s="148"/>
      <c r="B830" s="151"/>
      <c r="C830" s="151"/>
      <c r="D830" s="148"/>
      <c r="E830" s="148"/>
      <c r="F830" s="148"/>
      <c r="G830" s="148"/>
      <c r="H830" s="152"/>
      <c r="I830" s="153"/>
      <c r="J830" s="154"/>
      <c r="K830" s="153"/>
    </row>
    <row r="831" spans="1:11" ht="15.75" customHeight="1" x14ac:dyDescent="0.25">
      <c r="A831" s="148"/>
      <c r="B831" s="151"/>
      <c r="C831" s="151"/>
      <c r="D831" s="148"/>
      <c r="E831" s="148"/>
      <c r="F831" s="148"/>
      <c r="G831" s="148"/>
      <c r="H831" s="152"/>
      <c r="I831" s="153"/>
      <c r="J831" s="154"/>
      <c r="K831" s="153"/>
    </row>
    <row r="832" spans="1:11" ht="15.75" customHeight="1" x14ac:dyDescent="0.25">
      <c r="A832" s="148"/>
      <c r="B832" s="151"/>
      <c r="C832" s="151"/>
      <c r="D832" s="148"/>
      <c r="E832" s="148"/>
      <c r="F832" s="148"/>
      <c r="G832" s="148"/>
      <c r="H832" s="152"/>
      <c r="I832" s="153"/>
      <c r="J832" s="154"/>
      <c r="K832" s="153"/>
    </row>
    <row r="833" spans="1:11" ht="15.75" customHeight="1" x14ac:dyDescent="0.25">
      <c r="A833" s="148"/>
      <c r="B833" s="151"/>
      <c r="C833" s="151"/>
      <c r="D833" s="148"/>
      <c r="E833" s="148"/>
      <c r="F833" s="148"/>
      <c r="G833" s="148"/>
      <c r="H833" s="152"/>
      <c r="I833" s="153"/>
      <c r="J833" s="154"/>
      <c r="K833" s="153"/>
    </row>
    <row r="834" spans="1:11" ht="15.75" customHeight="1" x14ac:dyDescent="0.25">
      <c r="A834" s="148"/>
      <c r="B834" s="151"/>
      <c r="C834" s="151"/>
      <c r="D834" s="148"/>
      <c r="E834" s="148"/>
      <c r="F834" s="148"/>
      <c r="G834" s="148"/>
      <c r="H834" s="152"/>
      <c r="I834" s="153"/>
      <c r="J834" s="154"/>
      <c r="K834" s="153"/>
    </row>
    <row r="835" spans="1:11" ht="15.75" customHeight="1" x14ac:dyDescent="0.25">
      <c r="A835" s="148"/>
      <c r="B835" s="151"/>
      <c r="C835" s="151"/>
      <c r="D835" s="148"/>
      <c r="E835" s="148"/>
      <c r="F835" s="148"/>
      <c r="G835" s="148"/>
      <c r="H835" s="152"/>
      <c r="I835" s="153"/>
      <c r="J835" s="154"/>
      <c r="K835" s="153"/>
    </row>
    <row r="836" spans="1:11" ht="15.75" customHeight="1" x14ac:dyDescent="0.25">
      <c r="A836" s="148"/>
      <c r="B836" s="151"/>
      <c r="C836" s="151"/>
      <c r="D836" s="148"/>
      <c r="E836" s="148"/>
      <c r="F836" s="148"/>
      <c r="G836" s="148"/>
      <c r="H836" s="152"/>
      <c r="I836" s="153"/>
      <c r="J836" s="154"/>
      <c r="K836" s="153"/>
    </row>
    <row r="837" spans="1:11" ht="15.75" customHeight="1" x14ac:dyDescent="0.25">
      <c r="A837" s="148"/>
      <c r="B837" s="151"/>
      <c r="C837" s="151"/>
      <c r="D837" s="148"/>
      <c r="E837" s="148"/>
      <c r="F837" s="148"/>
      <c r="G837" s="148"/>
      <c r="H837" s="152"/>
      <c r="I837" s="153"/>
      <c r="J837" s="154"/>
      <c r="K837" s="153"/>
    </row>
    <row r="838" spans="1:11" ht="15.75" customHeight="1" x14ac:dyDescent="0.25">
      <c r="A838" s="148"/>
      <c r="B838" s="151"/>
      <c r="C838" s="151"/>
      <c r="D838" s="148"/>
      <c r="E838" s="148"/>
      <c r="F838" s="148"/>
      <c r="G838" s="148"/>
      <c r="H838" s="152"/>
      <c r="I838" s="153"/>
      <c r="J838" s="154"/>
      <c r="K838" s="153"/>
    </row>
    <row r="839" spans="1:11" ht="15.75" customHeight="1" x14ac:dyDescent="0.25">
      <c r="A839" s="148"/>
      <c r="B839" s="151"/>
      <c r="C839" s="151"/>
      <c r="D839" s="148"/>
      <c r="E839" s="148"/>
      <c r="F839" s="148"/>
      <c r="G839" s="148"/>
      <c r="H839" s="152"/>
      <c r="I839" s="153"/>
      <c r="J839" s="154"/>
      <c r="K839" s="153"/>
    </row>
    <row r="840" spans="1:11" ht="15.75" customHeight="1" x14ac:dyDescent="0.25">
      <c r="A840" s="148"/>
      <c r="B840" s="151"/>
      <c r="C840" s="151"/>
      <c r="D840" s="148"/>
      <c r="E840" s="148"/>
      <c r="F840" s="148"/>
      <c r="G840" s="148"/>
      <c r="H840" s="152"/>
      <c r="I840" s="153"/>
      <c r="J840" s="154"/>
      <c r="K840" s="153"/>
    </row>
    <row r="841" spans="1:11" ht="15.75" customHeight="1" x14ac:dyDescent="0.25">
      <c r="A841" s="148"/>
      <c r="B841" s="151"/>
      <c r="C841" s="151"/>
      <c r="D841" s="148"/>
      <c r="E841" s="148"/>
      <c r="F841" s="148"/>
      <c r="G841" s="148"/>
      <c r="H841" s="152"/>
      <c r="I841" s="153"/>
      <c r="J841" s="154"/>
      <c r="K841" s="153"/>
    </row>
    <row r="842" spans="1:11" ht="15.75" customHeight="1" x14ac:dyDescent="0.25">
      <c r="A842" s="148"/>
      <c r="B842" s="151"/>
      <c r="C842" s="151"/>
      <c r="D842" s="148"/>
      <c r="E842" s="148"/>
      <c r="F842" s="148"/>
      <c r="G842" s="148"/>
      <c r="H842" s="152"/>
      <c r="I842" s="153"/>
      <c r="J842" s="154"/>
      <c r="K842" s="153"/>
    </row>
    <row r="843" spans="1:11" ht="15.75" customHeight="1" x14ac:dyDescent="0.25">
      <c r="A843" s="148"/>
      <c r="B843" s="151"/>
      <c r="C843" s="151"/>
      <c r="D843" s="148"/>
      <c r="E843" s="148"/>
      <c r="F843" s="148"/>
      <c r="G843" s="148"/>
      <c r="H843" s="152"/>
      <c r="I843" s="153"/>
      <c r="J843" s="154"/>
      <c r="K843" s="153"/>
    </row>
    <row r="844" spans="1:11" ht="15.75" customHeight="1" x14ac:dyDescent="0.25">
      <c r="A844" s="148"/>
      <c r="B844" s="151"/>
      <c r="C844" s="151"/>
      <c r="D844" s="148"/>
      <c r="E844" s="148"/>
      <c r="F844" s="148"/>
      <c r="G844" s="148"/>
      <c r="H844" s="152"/>
      <c r="I844" s="153"/>
      <c r="J844" s="154"/>
      <c r="K844" s="153"/>
    </row>
    <row r="845" spans="1:11" ht="15.75" customHeight="1" x14ac:dyDescent="0.25">
      <c r="A845" s="148"/>
      <c r="B845" s="151"/>
      <c r="C845" s="151"/>
      <c r="D845" s="148"/>
      <c r="E845" s="148"/>
      <c r="F845" s="148"/>
      <c r="G845" s="148"/>
      <c r="H845" s="152"/>
      <c r="I845" s="153"/>
      <c r="J845" s="154"/>
      <c r="K845" s="153"/>
    </row>
    <row r="846" spans="1:11" ht="15.75" customHeight="1" x14ac:dyDescent="0.25">
      <c r="A846" s="148"/>
      <c r="B846" s="151"/>
      <c r="C846" s="151"/>
      <c r="D846" s="148"/>
      <c r="E846" s="148"/>
      <c r="F846" s="148"/>
      <c r="G846" s="148"/>
      <c r="H846" s="152"/>
      <c r="I846" s="153"/>
      <c r="J846" s="154"/>
      <c r="K846" s="153"/>
    </row>
    <row r="847" spans="1:11" ht="15.75" customHeight="1" x14ac:dyDescent="0.25">
      <c r="A847" s="148"/>
      <c r="B847" s="151"/>
      <c r="C847" s="151"/>
      <c r="D847" s="148"/>
      <c r="E847" s="148"/>
      <c r="F847" s="148"/>
      <c r="G847" s="148"/>
      <c r="H847" s="152"/>
      <c r="I847" s="153"/>
      <c r="J847" s="154"/>
      <c r="K847" s="153"/>
    </row>
    <row r="848" spans="1:11" ht="15.75" customHeight="1" x14ac:dyDescent="0.25">
      <c r="A848" s="148"/>
      <c r="B848" s="151"/>
      <c r="C848" s="151"/>
      <c r="D848" s="148"/>
      <c r="E848" s="148"/>
      <c r="F848" s="148"/>
      <c r="G848" s="148"/>
      <c r="H848" s="152"/>
      <c r="I848" s="153"/>
      <c r="J848" s="154"/>
      <c r="K848" s="153"/>
    </row>
    <row r="849" spans="1:11" ht="15.75" customHeight="1" x14ac:dyDescent="0.25">
      <c r="A849" s="148"/>
      <c r="B849" s="151"/>
      <c r="C849" s="151"/>
      <c r="D849" s="148"/>
      <c r="E849" s="148"/>
      <c r="F849" s="148"/>
      <c r="G849" s="148"/>
      <c r="H849" s="152"/>
      <c r="I849" s="153"/>
      <c r="J849" s="154"/>
      <c r="K849" s="153"/>
    </row>
    <row r="850" spans="1:11" ht="15.75" customHeight="1" x14ac:dyDescent="0.25">
      <c r="A850" s="148"/>
      <c r="B850" s="151"/>
      <c r="C850" s="151"/>
      <c r="D850" s="148"/>
      <c r="E850" s="148"/>
      <c r="F850" s="148"/>
      <c r="G850" s="148"/>
      <c r="H850" s="152"/>
      <c r="I850" s="153"/>
      <c r="J850" s="154"/>
      <c r="K850" s="153"/>
    </row>
    <row r="851" spans="1:11" ht="15.75" customHeight="1" x14ac:dyDescent="0.25">
      <c r="A851" s="148"/>
      <c r="B851" s="151"/>
      <c r="C851" s="151"/>
      <c r="D851" s="148"/>
      <c r="E851" s="148"/>
      <c r="F851" s="148"/>
      <c r="G851" s="148"/>
      <c r="H851" s="152"/>
      <c r="I851" s="153"/>
      <c r="J851" s="154"/>
      <c r="K851" s="153"/>
    </row>
    <row r="852" spans="1:11" ht="15.75" customHeight="1" x14ac:dyDescent="0.25">
      <c r="A852" s="148"/>
      <c r="B852" s="151"/>
      <c r="C852" s="151"/>
      <c r="D852" s="148"/>
      <c r="E852" s="148"/>
      <c r="F852" s="148"/>
      <c r="G852" s="148"/>
      <c r="H852" s="152"/>
      <c r="I852" s="153"/>
      <c r="J852" s="154"/>
      <c r="K852" s="153"/>
    </row>
    <row r="853" spans="1:11" ht="15.75" customHeight="1" x14ac:dyDescent="0.25">
      <c r="A853" s="148"/>
      <c r="B853" s="151"/>
      <c r="C853" s="151"/>
      <c r="D853" s="148"/>
      <c r="E853" s="148"/>
      <c r="F853" s="148"/>
      <c r="G853" s="148"/>
      <c r="H853" s="152"/>
      <c r="I853" s="153"/>
      <c r="J853" s="154"/>
      <c r="K853" s="153"/>
    </row>
    <row r="854" spans="1:11" ht="15.75" customHeight="1" x14ac:dyDescent="0.25">
      <c r="A854" s="148"/>
      <c r="B854" s="151"/>
      <c r="C854" s="151"/>
      <c r="D854" s="148"/>
      <c r="E854" s="148"/>
      <c r="F854" s="148"/>
      <c r="G854" s="148"/>
      <c r="H854" s="152"/>
      <c r="I854" s="153"/>
      <c r="J854" s="154"/>
      <c r="K854" s="153"/>
    </row>
    <row r="855" spans="1:11" ht="15.75" customHeight="1" x14ac:dyDescent="0.25">
      <c r="A855" s="148"/>
      <c r="B855" s="151"/>
      <c r="C855" s="151"/>
      <c r="D855" s="148"/>
      <c r="E855" s="148"/>
      <c r="F855" s="148"/>
      <c r="G855" s="148"/>
      <c r="H855" s="152"/>
      <c r="I855" s="153"/>
      <c r="J855" s="154"/>
      <c r="K855" s="153"/>
    </row>
    <row r="856" spans="1:11" ht="15.75" customHeight="1" x14ac:dyDescent="0.25">
      <c r="A856" s="148"/>
      <c r="B856" s="151"/>
      <c r="C856" s="151"/>
      <c r="D856" s="148"/>
      <c r="E856" s="148"/>
      <c r="F856" s="148"/>
      <c r="G856" s="148"/>
      <c r="H856" s="152"/>
      <c r="I856" s="153"/>
      <c r="J856" s="154"/>
      <c r="K856" s="153"/>
    </row>
    <row r="857" spans="1:11" ht="15.75" customHeight="1" x14ac:dyDescent="0.25">
      <c r="A857" s="148"/>
      <c r="B857" s="151"/>
      <c r="C857" s="151"/>
      <c r="D857" s="148"/>
      <c r="E857" s="148"/>
      <c r="F857" s="148"/>
      <c r="G857" s="148"/>
      <c r="H857" s="152"/>
      <c r="I857" s="153"/>
      <c r="J857" s="154"/>
      <c r="K857" s="153"/>
    </row>
    <row r="858" spans="1:11" ht="15.75" customHeight="1" x14ac:dyDescent="0.25">
      <c r="A858" s="148"/>
      <c r="B858" s="151"/>
      <c r="C858" s="151"/>
      <c r="D858" s="148"/>
      <c r="E858" s="148"/>
      <c r="F858" s="148"/>
      <c r="G858" s="148"/>
      <c r="H858" s="152"/>
      <c r="I858" s="153"/>
      <c r="J858" s="154"/>
      <c r="K858" s="153"/>
    </row>
    <row r="859" spans="1:11" ht="15.75" customHeight="1" x14ac:dyDescent="0.25">
      <c r="A859" s="148"/>
      <c r="B859" s="151"/>
      <c r="C859" s="151"/>
      <c r="D859" s="148"/>
      <c r="E859" s="148"/>
      <c r="F859" s="148"/>
      <c r="G859" s="148"/>
      <c r="H859" s="152"/>
      <c r="I859" s="153"/>
      <c r="J859" s="154"/>
      <c r="K859" s="153"/>
    </row>
    <row r="860" spans="1:11" ht="15.75" customHeight="1" x14ac:dyDescent="0.25">
      <c r="A860" s="148"/>
      <c r="B860" s="151"/>
      <c r="C860" s="151"/>
      <c r="D860" s="148"/>
      <c r="E860" s="148"/>
      <c r="F860" s="148"/>
      <c r="G860" s="148"/>
      <c r="H860" s="152"/>
      <c r="I860" s="153"/>
      <c r="J860" s="154"/>
      <c r="K860" s="153"/>
    </row>
    <row r="861" spans="1:11" ht="15.75" customHeight="1" x14ac:dyDescent="0.25">
      <c r="A861" s="148"/>
      <c r="B861" s="151"/>
      <c r="C861" s="151"/>
      <c r="D861" s="148"/>
      <c r="E861" s="148"/>
      <c r="F861" s="148"/>
      <c r="G861" s="148"/>
      <c r="H861" s="152"/>
      <c r="I861" s="153"/>
      <c r="J861" s="154"/>
      <c r="K861" s="153"/>
    </row>
    <row r="862" spans="1:11" ht="15.75" customHeight="1" x14ac:dyDescent="0.25">
      <c r="A862" s="148"/>
      <c r="B862" s="151"/>
      <c r="C862" s="151"/>
      <c r="D862" s="148"/>
      <c r="E862" s="148"/>
      <c r="F862" s="148"/>
      <c r="G862" s="148"/>
      <c r="H862" s="152"/>
      <c r="I862" s="153"/>
      <c r="J862" s="154"/>
      <c r="K862" s="153"/>
    </row>
    <row r="863" spans="1:11" ht="15.75" customHeight="1" x14ac:dyDescent="0.25">
      <c r="A863" s="148"/>
      <c r="B863" s="151"/>
      <c r="C863" s="151"/>
      <c r="D863" s="148"/>
      <c r="E863" s="148"/>
      <c r="F863" s="148"/>
      <c r="G863" s="148"/>
      <c r="H863" s="152"/>
      <c r="I863" s="153"/>
      <c r="J863" s="154"/>
      <c r="K863" s="153"/>
    </row>
    <row r="864" spans="1:11" ht="15.75" customHeight="1" x14ac:dyDescent="0.25">
      <c r="A864" s="148"/>
      <c r="B864" s="151"/>
      <c r="C864" s="151"/>
      <c r="D864" s="148"/>
      <c r="E864" s="148"/>
      <c r="F864" s="148"/>
      <c r="G864" s="148"/>
      <c r="H864" s="152"/>
      <c r="I864" s="153"/>
      <c r="J864" s="154"/>
      <c r="K864" s="153"/>
    </row>
    <row r="865" spans="1:11" ht="15.75" customHeight="1" x14ac:dyDescent="0.25">
      <c r="A865" s="148"/>
      <c r="B865" s="151"/>
      <c r="C865" s="151"/>
      <c r="D865" s="148"/>
      <c r="E865" s="148"/>
      <c r="F865" s="148"/>
      <c r="G865" s="148"/>
      <c r="H865" s="152"/>
      <c r="I865" s="153"/>
      <c r="J865" s="154"/>
      <c r="K865" s="153"/>
    </row>
    <row r="866" spans="1:11" ht="15.75" customHeight="1" x14ac:dyDescent="0.25">
      <c r="A866" s="148"/>
      <c r="B866" s="151"/>
      <c r="C866" s="151"/>
      <c r="D866" s="148"/>
      <c r="E866" s="148"/>
      <c r="F866" s="148"/>
      <c r="G866" s="148"/>
      <c r="H866" s="152"/>
      <c r="I866" s="153"/>
      <c r="J866" s="154"/>
      <c r="K866" s="153"/>
    </row>
    <row r="867" spans="1:11" ht="15.75" customHeight="1" x14ac:dyDescent="0.25">
      <c r="A867" s="148"/>
      <c r="B867" s="151"/>
      <c r="C867" s="151"/>
      <c r="D867" s="148"/>
      <c r="E867" s="148"/>
      <c r="F867" s="148"/>
      <c r="G867" s="148"/>
      <c r="H867" s="152"/>
      <c r="I867" s="153"/>
      <c r="J867" s="154"/>
      <c r="K867" s="153"/>
    </row>
    <row r="868" spans="1:11" ht="15.75" customHeight="1" x14ac:dyDescent="0.25">
      <c r="A868" s="148"/>
      <c r="B868" s="151"/>
      <c r="C868" s="151"/>
      <c r="D868" s="148"/>
      <c r="E868" s="148"/>
      <c r="F868" s="148"/>
      <c r="G868" s="148"/>
      <c r="H868" s="152"/>
      <c r="I868" s="153"/>
      <c r="J868" s="154"/>
      <c r="K868" s="153"/>
    </row>
    <row r="869" spans="1:11" ht="15.75" customHeight="1" x14ac:dyDescent="0.25">
      <c r="A869" s="148"/>
      <c r="B869" s="151"/>
      <c r="C869" s="151"/>
      <c r="D869" s="148"/>
      <c r="E869" s="148"/>
      <c r="F869" s="148"/>
      <c r="G869" s="148"/>
      <c r="H869" s="152"/>
      <c r="I869" s="153"/>
      <c r="J869" s="154"/>
      <c r="K869" s="153"/>
    </row>
    <row r="870" spans="1:11" ht="15.75" customHeight="1" x14ac:dyDescent="0.25">
      <c r="A870" s="148"/>
      <c r="B870" s="151"/>
      <c r="C870" s="151"/>
      <c r="D870" s="148"/>
      <c r="E870" s="148"/>
      <c r="F870" s="148"/>
      <c r="G870" s="148"/>
      <c r="H870" s="152"/>
      <c r="I870" s="153"/>
      <c r="J870" s="154"/>
      <c r="K870" s="153"/>
    </row>
    <row r="871" spans="1:11" ht="15.75" customHeight="1" x14ac:dyDescent="0.25">
      <c r="A871" s="148"/>
      <c r="B871" s="151"/>
      <c r="C871" s="151"/>
      <c r="D871" s="148"/>
      <c r="E871" s="148"/>
      <c r="F871" s="148"/>
      <c r="G871" s="148"/>
      <c r="H871" s="152"/>
      <c r="I871" s="153"/>
      <c r="J871" s="154"/>
      <c r="K871" s="153"/>
    </row>
    <row r="872" spans="1:11" ht="15.75" customHeight="1" x14ac:dyDescent="0.25">
      <c r="A872" s="148"/>
      <c r="B872" s="151"/>
      <c r="C872" s="151"/>
      <c r="D872" s="148"/>
      <c r="E872" s="148"/>
      <c r="F872" s="148"/>
      <c r="G872" s="148"/>
      <c r="H872" s="152"/>
      <c r="I872" s="153"/>
      <c r="J872" s="154"/>
      <c r="K872" s="153"/>
    </row>
    <row r="873" spans="1:11" ht="15.75" customHeight="1" x14ac:dyDescent="0.25">
      <c r="A873" s="148"/>
      <c r="B873" s="151"/>
      <c r="C873" s="151"/>
      <c r="D873" s="148"/>
      <c r="E873" s="148"/>
      <c r="F873" s="148"/>
      <c r="G873" s="148"/>
      <c r="H873" s="152"/>
      <c r="I873" s="153"/>
      <c r="J873" s="154"/>
      <c r="K873" s="153"/>
    </row>
    <row r="874" spans="1:11" ht="15.75" customHeight="1" x14ac:dyDescent="0.25">
      <c r="A874" s="148"/>
      <c r="B874" s="151"/>
      <c r="C874" s="151"/>
      <c r="D874" s="148"/>
      <c r="E874" s="148"/>
      <c r="F874" s="148"/>
      <c r="G874" s="148"/>
      <c r="H874" s="152"/>
      <c r="I874" s="153"/>
      <c r="J874" s="154"/>
      <c r="K874" s="153"/>
    </row>
    <row r="875" spans="1:11" ht="15.75" customHeight="1" x14ac:dyDescent="0.25">
      <c r="A875" s="148"/>
      <c r="B875" s="151"/>
      <c r="C875" s="151"/>
      <c r="D875" s="148"/>
      <c r="E875" s="148"/>
      <c r="F875" s="148"/>
      <c r="G875" s="148"/>
      <c r="H875" s="152"/>
      <c r="I875" s="153"/>
      <c r="J875" s="154"/>
      <c r="K875" s="153"/>
    </row>
    <row r="876" spans="1:11" ht="15.75" customHeight="1" x14ac:dyDescent="0.25">
      <c r="A876" s="148"/>
      <c r="B876" s="151"/>
      <c r="C876" s="151"/>
      <c r="D876" s="148"/>
      <c r="E876" s="148"/>
      <c r="F876" s="148"/>
      <c r="G876" s="148"/>
      <c r="H876" s="152"/>
      <c r="I876" s="153"/>
      <c r="J876" s="154"/>
      <c r="K876" s="153"/>
    </row>
    <row r="877" spans="1:11" ht="15.75" customHeight="1" x14ac:dyDescent="0.25">
      <c r="A877" s="148"/>
      <c r="B877" s="151"/>
      <c r="C877" s="151"/>
      <c r="D877" s="148"/>
      <c r="E877" s="148"/>
      <c r="F877" s="148"/>
      <c r="G877" s="148"/>
      <c r="H877" s="152"/>
      <c r="I877" s="153"/>
      <c r="J877" s="154"/>
      <c r="K877" s="153"/>
    </row>
    <row r="878" spans="1:11" ht="15.75" customHeight="1" x14ac:dyDescent="0.25">
      <c r="A878" s="148"/>
      <c r="B878" s="151"/>
      <c r="C878" s="151"/>
      <c r="D878" s="148"/>
      <c r="E878" s="148"/>
      <c r="F878" s="148"/>
      <c r="G878" s="148"/>
      <c r="H878" s="152"/>
      <c r="I878" s="153"/>
      <c r="J878" s="154"/>
      <c r="K878" s="153"/>
    </row>
    <row r="879" spans="1:11" ht="15.75" customHeight="1" x14ac:dyDescent="0.25">
      <c r="A879" s="148"/>
      <c r="B879" s="151"/>
      <c r="C879" s="151"/>
      <c r="D879" s="148"/>
      <c r="E879" s="148"/>
      <c r="F879" s="148"/>
      <c r="G879" s="148"/>
      <c r="H879" s="152"/>
      <c r="I879" s="153"/>
      <c r="J879" s="154"/>
      <c r="K879" s="153"/>
    </row>
    <row r="880" spans="1:11" ht="15.75" customHeight="1" x14ac:dyDescent="0.25">
      <c r="A880" s="148"/>
      <c r="B880" s="151"/>
      <c r="C880" s="151"/>
      <c r="D880" s="148"/>
      <c r="E880" s="148"/>
      <c r="F880" s="148"/>
      <c r="G880" s="148"/>
      <c r="H880" s="152"/>
      <c r="I880" s="153"/>
      <c r="J880" s="154"/>
      <c r="K880" s="153"/>
    </row>
    <row r="881" spans="1:11" ht="15.75" customHeight="1" x14ac:dyDescent="0.25">
      <c r="A881" s="148"/>
      <c r="B881" s="151"/>
      <c r="C881" s="151"/>
      <c r="D881" s="148"/>
      <c r="E881" s="148"/>
      <c r="F881" s="148"/>
      <c r="G881" s="148"/>
      <c r="H881" s="152"/>
      <c r="I881" s="153"/>
      <c r="J881" s="154"/>
      <c r="K881" s="153"/>
    </row>
    <row r="882" spans="1:11" ht="15.75" customHeight="1" x14ac:dyDescent="0.25">
      <c r="A882" s="148"/>
      <c r="B882" s="151"/>
      <c r="C882" s="151"/>
      <c r="D882" s="148"/>
      <c r="E882" s="148"/>
      <c r="F882" s="148"/>
      <c r="G882" s="148"/>
      <c r="H882" s="152"/>
      <c r="I882" s="153"/>
      <c r="J882" s="154"/>
      <c r="K882" s="153"/>
    </row>
    <row r="883" spans="1:11" ht="15.75" customHeight="1" x14ac:dyDescent="0.25">
      <c r="A883" s="148"/>
      <c r="B883" s="151"/>
      <c r="C883" s="151"/>
      <c r="D883" s="148"/>
      <c r="E883" s="148"/>
      <c r="F883" s="148"/>
      <c r="G883" s="148"/>
      <c r="H883" s="152"/>
      <c r="I883" s="153"/>
      <c r="J883" s="154"/>
      <c r="K883" s="153"/>
    </row>
    <row r="884" spans="1:11" ht="15.75" customHeight="1" x14ac:dyDescent="0.25">
      <c r="A884" s="148"/>
      <c r="B884" s="151"/>
      <c r="C884" s="151"/>
      <c r="D884" s="148"/>
      <c r="E884" s="148"/>
      <c r="F884" s="148"/>
      <c r="G884" s="148"/>
      <c r="H884" s="152"/>
      <c r="I884" s="153"/>
      <c r="J884" s="154"/>
      <c r="K884" s="153"/>
    </row>
    <row r="885" spans="1:11" ht="15.75" customHeight="1" x14ac:dyDescent="0.25">
      <c r="A885" s="148"/>
      <c r="B885" s="151"/>
      <c r="C885" s="151"/>
      <c r="D885" s="148"/>
      <c r="E885" s="148"/>
      <c r="F885" s="148"/>
      <c r="G885" s="148"/>
      <c r="H885" s="152"/>
      <c r="I885" s="153"/>
      <c r="J885" s="154"/>
      <c r="K885" s="153"/>
    </row>
    <row r="886" spans="1:11" ht="15.75" customHeight="1" x14ac:dyDescent="0.25">
      <c r="A886" s="148"/>
      <c r="B886" s="151"/>
      <c r="C886" s="151"/>
      <c r="D886" s="148"/>
      <c r="E886" s="148"/>
      <c r="F886" s="148"/>
      <c r="G886" s="148"/>
      <c r="H886" s="152"/>
      <c r="I886" s="153"/>
      <c r="J886" s="154"/>
      <c r="K886" s="153"/>
    </row>
    <row r="887" spans="1:11" ht="15.75" customHeight="1" x14ac:dyDescent="0.25">
      <c r="A887" s="148"/>
      <c r="B887" s="151"/>
      <c r="C887" s="151"/>
      <c r="D887" s="148"/>
      <c r="E887" s="148"/>
      <c r="F887" s="148"/>
      <c r="G887" s="148"/>
      <c r="H887" s="152"/>
      <c r="I887" s="153"/>
      <c r="J887" s="154"/>
      <c r="K887" s="153"/>
    </row>
    <row r="888" spans="1:11" ht="15.75" customHeight="1" x14ac:dyDescent="0.25">
      <c r="A888" s="148"/>
      <c r="B888" s="151"/>
      <c r="C888" s="151"/>
      <c r="D888" s="148"/>
      <c r="E888" s="148"/>
      <c r="F888" s="148"/>
      <c r="G888" s="148"/>
      <c r="H888" s="152"/>
      <c r="I888" s="153"/>
      <c r="J888" s="154"/>
      <c r="K888" s="153"/>
    </row>
    <row r="889" spans="1:11" ht="15.75" customHeight="1" x14ac:dyDescent="0.25">
      <c r="A889" s="148"/>
      <c r="B889" s="151"/>
      <c r="C889" s="151"/>
      <c r="D889" s="148"/>
      <c r="E889" s="148"/>
      <c r="F889" s="148"/>
      <c r="G889" s="148"/>
      <c r="H889" s="152"/>
      <c r="I889" s="153"/>
      <c r="J889" s="154"/>
      <c r="K889" s="153"/>
    </row>
    <row r="890" spans="1:11" ht="15.75" customHeight="1" x14ac:dyDescent="0.25">
      <c r="A890" s="148"/>
      <c r="B890" s="151"/>
      <c r="C890" s="151"/>
      <c r="D890" s="148"/>
      <c r="E890" s="148"/>
      <c r="F890" s="148"/>
      <c r="G890" s="148"/>
      <c r="H890" s="152"/>
      <c r="I890" s="153"/>
      <c r="J890" s="154"/>
      <c r="K890" s="153"/>
    </row>
    <row r="891" spans="1:11" ht="15.75" customHeight="1" x14ac:dyDescent="0.25">
      <c r="A891" s="148"/>
      <c r="B891" s="151"/>
      <c r="C891" s="151"/>
      <c r="D891" s="148"/>
      <c r="E891" s="148"/>
      <c r="F891" s="148"/>
      <c r="G891" s="148"/>
      <c r="H891" s="152"/>
      <c r="I891" s="153"/>
      <c r="J891" s="154"/>
      <c r="K891" s="153"/>
    </row>
    <row r="892" spans="1:11" ht="15.75" customHeight="1" x14ac:dyDescent="0.25">
      <c r="A892" s="148"/>
      <c r="B892" s="151"/>
      <c r="C892" s="151"/>
      <c r="D892" s="148"/>
      <c r="E892" s="148"/>
      <c r="F892" s="148"/>
      <c r="G892" s="148"/>
      <c r="H892" s="152"/>
      <c r="I892" s="153"/>
      <c r="J892" s="154"/>
      <c r="K892" s="153"/>
    </row>
    <row r="893" spans="1:11" ht="15.75" customHeight="1" x14ac:dyDescent="0.25">
      <c r="A893" s="148"/>
      <c r="B893" s="151"/>
      <c r="C893" s="151"/>
      <c r="D893" s="148"/>
      <c r="E893" s="148"/>
      <c r="F893" s="148"/>
      <c r="G893" s="148"/>
      <c r="H893" s="152"/>
      <c r="I893" s="153"/>
      <c r="J893" s="154"/>
      <c r="K893" s="153"/>
    </row>
    <row r="894" spans="1:11" ht="15.75" customHeight="1" x14ac:dyDescent="0.25">
      <c r="A894" s="148"/>
      <c r="B894" s="151"/>
      <c r="C894" s="151"/>
      <c r="D894" s="148"/>
      <c r="E894" s="148"/>
      <c r="F894" s="148"/>
      <c r="G894" s="148"/>
      <c r="H894" s="152"/>
      <c r="I894" s="153"/>
      <c r="J894" s="154"/>
      <c r="K894" s="153"/>
    </row>
    <row r="895" spans="1:11" ht="15.75" customHeight="1" x14ac:dyDescent="0.25">
      <c r="A895" s="148"/>
      <c r="B895" s="151"/>
      <c r="C895" s="151"/>
      <c r="D895" s="148"/>
      <c r="E895" s="148"/>
      <c r="F895" s="148"/>
      <c r="G895" s="148"/>
      <c r="H895" s="152"/>
      <c r="I895" s="153"/>
      <c r="J895" s="154"/>
      <c r="K895" s="153"/>
    </row>
    <row r="896" spans="1:11" ht="15.75" customHeight="1" x14ac:dyDescent="0.25">
      <c r="A896" s="148"/>
      <c r="B896" s="151"/>
      <c r="C896" s="151"/>
      <c r="D896" s="148"/>
      <c r="E896" s="148"/>
      <c r="F896" s="148"/>
      <c r="G896" s="148"/>
      <c r="H896" s="152"/>
      <c r="I896" s="153"/>
      <c r="J896" s="154"/>
      <c r="K896" s="153"/>
    </row>
    <row r="897" spans="1:11" ht="15.75" customHeight="1" x14ac:dyDescent="0.25">
      <c r="A897" s="148"/>
      <c r="B897" s="151"/>
      <c r="C897" s="151"/>
      <c r="D897" s="148"/>
      <c r="E897" s="148"/>
      <c r="F897" s="148"/>
      <c r="G897" s="148"/>
      <c r="H897" s="152"/>
      <c r="I897" s="153"/>
      <c r="J897" s="154"/>
      <c r="K897" s="153"/>
    </row>
    <row r="898" spans="1:11" ht="15.75" customHeight="1" x14ac:dyDescent="0.25">
      <c r="A898" s="148"/>
      <c r="B898" s="151"/>
      <c r="C898" s="151"/>
      <c r="D898" s="148"/>
      <c r="E898" s="148"/>
      <c r="F898" s="148"/>
      <c r="G898" s="148"/>
      <c r="H898" s="152"/>
      <c r="I898" s="153"/>
      <c r="J898" s="154"/>
      <c r="K898" s="153"/>
    </row>
    <row r="899" spans="1:11" ht="15.75" customHeight="1" x14ac:dyDescent="0.25">
      <c r="A899" s="148"/>
      <c r="B899" s="151"/>
      <c r="C899" s="151"/>
      <c r="D899" s="148"/>
      <c r="E899" s="148"/>
      <c r="F899" s="148"/>
      <c r="G899" s="148"/>
      <c r="H899" s="152"/>
      <c r="I899" s="153"/>
      <c r="J899" s="154"/>
      <c r="K899" s="153"/>
    </row>
    <row r="900" spans="1:11" ht="15.75" customHeight="1" x14ac:dyDescent="0.25">
      <c r="A900" s="148"/>
      <c r="B900" s="151"/>
      <c r="C900" s="151"/>
      <c r="D900" s="148"/>
      <c r="E900" s="148"/>
      <c r="F900" s="148"/>
      <c r="G900" s="148"/>
      <c r="H900" s="152"/>
      <c r="I900" s="153"/>
      <c r="J900" s="154"/>
      <c r="K900" s="153"/>
    </row>
    <row r="901" spans="1:11" ht="15.75" customHeight="1" x14ac:dyDescent="0.25">
      <c r="A901" s="148"/>
      <c r="B901" s="151"/>
      <c r="C901" s="151"/>
      <c r="D901" s="148"/>
      <c r="E901" s="148"/>
      <c r="F901" s="148"/>
      <c r="G901" s="148"/>
      <c r="H901" s="152"/>
      <c r="I901" s="153"/>
      <c r="J901" s="154"/>
      <c r="K901" s="153"/>
    </row>
    <row r="902" spans="1:11" ht="15.75" customHeight="1" x14ac:dyDescent="0.25">
      <c r="A902" s="148"/>
      <c r="B902" s="151"/>
      <c r="C902" s="151"/>
      <c r="D902" s="148"/>
      <c r="E902" s="148"/>
      <c r="F902" s="148"/>
      <c r="G902" s="148"/>
      <c r="H902" s="152"/>
      <c r="I902" s="153"/>
      <c r="J902" s="154"/>
      <c r="K902" s="153"/>
    </row>
    <row r="903" spans="1:11" ht="15.75" customHeight="1" x14ac:dyDescent="0.25">
      <c r="A903" s="148"/>
      <c r="B903" s="151"/>
      <c r="C903" s="151"/>
      <c r="D903" s="148"/>
      <c r="E903" s="148"/>
      <c r="F903" s="148"/>
      <c r="G903" s="148"/>
      <c r="H903" s="152"/>
      <c r="I903" s="153"/>
      <c r="J903" s="154"/>
      <c r="K903" s="153"/>
    </row>
    <row r="904" spans="1:11" ht="15.75" customHeight="1" x14ac:dyDescent="0.25">
      <c r="A904" s="148"/>
      <c r="B904" s="151"/>
      <c r="C904" s="151"/>
      <c r="D904" s="148"/>
      <c r="E904" s="148"/>
      <c r="F904" s="148"/>
      <c r="G904" s="148"/>
      <c r="H904" s="152"/>
      <c r="I904" s="153"/>
      <c r="J904" s="154"/>
      <c r="K904" s="153"/>
    </row>
    <row r="905" spans="1:11" ht="15.75" customHeight="1" x14ac:dyDescent="0.25">
      <c r="A905" s="148"/>
      <c r="B905" s="151"/>
      <c r="C905" s="151"/>
      <c r="D905" s="148"/>
      <c r="E905" s="148"/>
      <c r="F905" s="148"/>
      <c r="G905" s="148"/>
      <c r="H905" s="152"/>
      <c r="I905" s="153"/>
      <c r="J905" s="154"/>
      <c r="K905" s="153"/>
    </row>
    <row r="906" spans="1:11" ht="15.75" customHeight="1" x14ac:dyDescent="0.25">
      <c r="A906" s="148"/>
      <c r="B906" s="151"/>
      <c r="C906" s="151"/>
      <c r="D906" s="148"/>
      <c r="E906" s="148"/>
      <c r="F906" s="148"/>
      <c r="G906" s="148"/>
      <c r="H906" s="152"/>
      <c r="I906" s="153"/>
      <c r="J906" s="154"/>
      <c r="K906" s="153"/>
    </row>
    <row r="907" spans="1:11" ht="15.75" customHeight="1" x14ac:dyDescent="0.25">
      <c r="A907" s="148"/>
      <c r="B907" s="151"/>
      <c r="C907" s="151"/>
      <c r="D907" s="148"/>
      <c r="E907" s="148"/>
      <c r="F907" s="148"/>
      <c r="G907" s="148"/>
      <c r="H907" s="152"/>
      <c r="I907" s="153"/>
      <c r="J907" s="154"/>
      <c r="K907" s="153"/>
    </row>
    <row r="908" spans="1:11" ht="15.75" customHeight="1" x14ac:dyDescent="0.25">
      <c r="A908" s="148"/>
      <c r="B908" s="151"/>
      <c r="C908" s="151"/>
      <c r="D908" s="148"/>
      <c r="E908" s="148"/>
      <c r="F908" s="148"/>
      <c r="G908" s="148"/>
      <c r="H908" s="152"/>
      <c r="I908" s="153"/>
      <c r="J908" s="154"/>
      <c r="K908" s="153"/>
    </row>
    <row r="909" spans="1:11" ht="15.75" customHeight="1" x14ac:dyDescent="0.25">
      <c r="A909" s="148"/>
      <c r="B909" s="151"/>
      <c r="C909" s="151"/>
      <c r="D909" s="148"/>
      <c r="E909" s="148"/>
      <c r="F909" s="148"/>
      <c r="G909" s="148"/>
      <c r="H909" s="152"/>
      <c r="I909" s="153"/>
      <c r="J909" s="154"/>
      <c r="K909" s="153"/>
    </row>
    <row r="910" spans="1:11" ht="15.75" customHeight="1" x14ac:dyDescent="0.25">
      <c r="A910" s="148"/>
      <c r="B910" s="151"/>
      <c r="C910" s="151"/>
      <c r="D910" s="148"/>
      <c r="E910" s="148"/>
      <c r="F910" s="148"/>
      <c r="G910" s="148"/>
      <c r="H910" s="152"/>
      <c r="I910" s="153"/>
      <c r="J910" s="154"/>
      <c r="K910" s="153"/>
    </row>
    <row r="911" spans="1:11" ht="15.75" customHeight="1" x14ac:dyDescent="0.25">
      <c r="A911" s="148"/>
      <c r="B911" s="151"/>
      <c r="C911" s="151"/>
      <c r="D911" s="148"/>
      <c r="E911" s="148"/>
      <c r="F911" s="148"/>
      <c r="G911" s="148"/>
      <c r="H911" s="152"/>
      <c r="I911" s="153"/>
      <c r="J911" s="154"/>
      <c r="K911" s="153"/>
    </row>
    <row r="912" spans="1:11" ht="15.75" customHeight="1" x14ac:dyDescent="0.25">
      <c r="A912" s="148"/>
      <c r="B912" s="151"/>
      <c r="C912" s="151"/>
      <c r="D912" s="148"/>
      <c r="E912" s="148"/>
      <c r="F912" s="148"/>
      <c r="G912" s="148"/>
      <c r="H912" s="152"/>
      <c r="I912" s="153"/>
      <c r="J912" s="154"/>
      <c r="K912" s="153"/>
    </row>
    <row r="913" spans="1:11" ht="15.75" customHeight="1" x14ac:dyDescent="0.25">
      <c r="A913" s="148"/>
      <c r="B913" s="151"/>
      <c r="C913" s="151"/>
      <c r="D913" s="148"/>
      <c r="E913" s="148"/>
      <c r="F913" s="148"/>
      <c r="G913" s="148"/>
      <c r="H913" s="152"/>
      <c r="I913" s="153"/>
      <c r="J913" s="154"/>
      <c r="K913" s="153"/>
    </row>
    <row r="914" spans="1:11" ht="15.75" customHeight="1" x14ac:dyDescent="0.25">
      <c r="A914" s="148"/>
      <c r="B914" s="151"/>
      <c r="C914" s="151"/>
      <c r="D914" s="148"/>
      <c r="E914" s="148"/>
      <c r="F914" s="148"/>
      <c r="G914" s="148"/>
      <c r="H914" s="152"/>
      <c r="I914" s="153"/>
      <c r="J914" s="154"/>
      <c r="K914" s="153"/>
    </row>
    <row r="915" spans="1:11" ht="15.75" customHeight="1" x14ac:dyDescent="0.25">
      <c r="A915" s="148"/>
      <c r="B915" s="151"/>
      <c r="C915" s="151"/>
      <c r="D915" s="148"/>
      <c r="E915" s="148"/>
      <c r="F915" s="148"/>
      <c r="G915" s="148"/>
      <c r="H915" s="152"/>
      <c r="I915" s="153"/>
      <c r="J915" s="154"/>
      <c r="K915" s="153"/>
    </row>
    <row r="916" spans="1:11" ht="15.75" customHeight="1" x14ac:dyDescent="0.25">
      <c r="A916" s="148"/>
      <c r="B916" s="151"/>
      <c r="C916" s="151"/>
      <c r="D916" s="148"/>
      <c r="E916" s="148"/>
      <c r="F916" s="148"/>
      <c r="G916" s="148"/>
      <c r="H916" s="152"/>
      <c r="I916" s="153"/>
      <c r="J916" s="154"/>
      <c r="K916" s="153"/>
    </row>
    <row r="917" spans="1:11" ht="15.75" customHeight="1" x14ac:dyDescent="0.25">
      <c r="A917" s="148"/>
      <c r="B917" s="151"/>
      <c r="C917" s="151"/>
      <c r="D917" s="148"/>
      <c r="E917" s="148"/>
      <c r="F917" s="148"/>
      <c r="G917" s="148"/>
      <c r="H917" s="152"/>
      <c r="I917" s="153"/>
      <c r="J917" s="154"/>
      <c r="K917" s="153"/>
    </row>
    <row r="918" spans="1:11" ht="15.75" customHeight="1" x14ac:dyDescent="0.25">
      <c r="A918" s="148"/>
      <c r="B918" s="151"/>
      <c r="C918" s="151"/>
      <c r="D918" s="148"/>
      <c r="E918" s="148"/>
      <c r="F918" s="148"/>
      <c r="G918" s="148"/>
      <c r="H918" s="152"/>
      <c r="I918" s="153"/>
      <c r="J918" s="154"/>
      <c r="K918" s="153"/>
    </row>
    <row r="919" spans="1:11" ht="15.75" customHeight="1" x14ac:dyDescent="0.25">
      <c r="A919" s="148"/>
      <c r="B919" s="151"/>
      <c r="C919" s="151"/>
      <c r="D919" s="148"/>
      <c r="E919" s="148"/>
      <c r="F919" s="148"/>
      <c r="G919" s="148"/>
      <c r="H919" s="152"/>
      <c r="I919" s="153"/>
      <c r="J919" s="154"/>
      <c r="K919" s="153"/>
    </row>
    <row r="920" spans="1:11" ht="15.75" customHeight="1" x14ac:dyDescent="0.25">
      <c r="A920" s="148"/>
      <c r="B920" s="151"/>
      <c r="C920" s="151"/>
      <c r="D920" s="148"/>
      <c r="E920" s="148"/>
      <c r="F920" s="148"/>
      <c r="G920" s="148"/>
      <c r="H920" s="152"/>
      <c r="I920" s="153"/>
      <c r="J920" s="154"/>
      <c r="K920" s="153"/>
    </row>
    <row r="921" spans="1:11" ht="15.75" customHeight="1" x14ac:dyDescent="0.25">
      <c r="A921" s="148"/>
      <c r="B921" s="151"/>
      <c r="C921" s="151"/>
      <c r="D921" s="148"/>
      <c r="E921" s="148"/>
      <c r="F921" s="148"/>
      <c r="G921" s="148"/>
      <c r="H921" s="152"/>
      <c r="I921" s="153"/>
      <c r="J921" s="154"/>
      <c r="K921" s="153"/>
    </row>
    <row r="922" spans="1:11" ht="15.75" customHeight="1" x14ac:dyDescent="0.25">
      <c r="A922" s="148"/>
      <c r="B922" s="151"/>
      <c r="C922" s="151"/>
      <c r="D922" s="148"/>
      <c r="E922" s="148"/>
      <c r="F922" s="148"/>
      <c r="G922" s="148"/>
      <c r="H922" s="152"/>
      <c r="I922" s="153"/>
      <c r="J922" s="154"/>
      <c r="K922" s="153"/>
    </row>
    <row r="923" spans="1:11" ht="15.75" customHeight="1" x14ac:dyDescent="0.25">
      <c r="A923" s="148"/>
      <c r="B923" s="151"/>
      <c r="C923" s="151"/>
      <c r="D923" s="148"/>
      <c r="E923" s="148"/>
      <c r="F923" s="148"/>
      <c r="G923" s="148"/>
      <c r="H923" s="152"/>
      <c r="I923" s="153"/>
      <c r="J923" s="154"/>
      <c r="K923" s="153"/>
    </row>
    <row r="924" spans="1:11" ht="15.75" customHeight="1" x14ac:dyDescent="0.25">
      <c r="A924" s="148"/>
      <c r="B924" s="151"/>
      <c r="C924" s="151"/>
      <c r="D924" s="148"/>
      <c r="E924" s="148"/>
      <c r="F924" s="148"/>
      <c r="G924" s="148"/>
      <c r="H924" s="152"/>
      <c r="I924" s="153"/>
      <c r="J924" s="154"/>
      <c r="K924" s="153"/>
    </row>
    <row r="925" spans="1:11" ht="15.75" customHeight="1" x14ac:dyDescent="0.25">
      <c r="A925" s="148"/>
      <c r="B925" s="151"/>
      <c r="C925" s="151"/>
      <c r="D925" s="148"/>
      <c r="E925" s="148"/>
      <c r="F925" s="148"/>
      <c r="G925" s="148"/>
      <c r="H925" s="152"/>
      <c r="I925" s="153"/>
      <c r="J925" s="154"/>
      <c r="K925" s="153"/>
    </row>
    <row r="926" spans="1:11" ht="15.75" customHeight="1" x14ac:dyDescent="0.25">
      <c r="A926" s="148"/>
      <c r="B926" s="151"/>
      <c r="C926" s="151"/>
      <c r="D926" s="148"/>
      <c r="E926" s="148"/>
      <c r="F926" s="148"/>
      <c r="G926" s="148"/>
      <c r="H926" s="152"/>
      <c r="I926" s="153"/>
      <c r="J926" s="154"/>
      <c r="K926" s="153"/>
    </row>
    <row r="927" spans="1:11" ht="15.75" customHeight="1" x14ac:dyDescent="0.25">
      <c r="A927" s="148"/>
      <c r="B927" s="151"/>
      <c r="C927" s="151"/>
      <c r="D927" s="148"/>
      <c r="E927" s="148"/>
      <c r="F927" s="148"/>
      <c r="G927" s="148"/>
      <c r="H927" s="152"/>
      <c r="I927" s="153"/>
      <c r="J927" s="154"/>
      <c r="K927" s="153"/>
    </row>
    <row r="928" spans="1:11" ht="15.75" customHeight="1" x14ac:dyDescent="0.25">
      <c r="A928" s="148"/>
      <c r="B928" s="151"/>
      <c r="C928" s="151"/>
      <c r="D928" s="148"/>
      <c r="E928" s="148"/>
      <c r="F928" s="148"/>
      <c r="G928" s="148"/>
      <c r="H928" s="152"/>
      <c r="I928" s="153"/>
      <c r="J928" s="154"/>
      <c r="K928" s="153"/>
    </row>
    <row r="929" spans="1:11" ht="15.75" customHeight="1" x14ac:dyDescent="0.25">
      <c r="A929" s="148"/>
      <c r="B929" s="151"/>
      <c r="C929" s="151"/>
      <c r="D929" s="148"/>
      <c r="E929" s="148"/>
      <c r="F929" s="148"/>
      <c r="G929" s="148"/>
      <c r="H929" s="152"/>
      <c r="I929" s="153"/>
      <c r="J929" s="154"/>
      <c r="K929" s="153"/>
    </row>
    <row r="930" spans="1:11" ht="15.75" customHeight="1" x14ac:dyDescent="0.25">
      <c r="A930" s="148"/>
      <c r="B930" s="151"/>
      <c r="C930" s="151"/>
      <c r="D930" s="148"/>
      <c r="E930" s="148"/>
      <c r="F930" s="148"/>
      <c r="G930" s="148"/>
      <c r="H930" s="152"/>
      <c r="I930" s="153"/>
      <c r="J930" s="154"/>
      <c r="K930" s="153"/>
    </row>
    <row r="931" spans="1:11" ht="15.75" customHeight="1" x14ac:dyDescent="0.25">
      <c r="A931" s="148"/>
      <c r="B931" s="151"/>
      <c r="C931" s="151"/>
      <c r="D931" s="148"/>
      <c r="E931" s="148"/>
      <c r="F931" s="148"/>
      <c r="G931" s="148"/>
      <c r="H931" s="152"/>
      <c r="I931" s="153"/>
      <c r="J931" s="154"/>
      <c r="K931" s="153"/>
    </row>
    <row r="932" spans="1:11" ht="15.75" customHeight="1" x14ac:dyDescent="0.25">
      <c r="A932" s="148"/>
      <c r="B932" s="151"/>
      <c r="C932" s="151"/>
      <c r="D932" s="148"/>
      <c r="E932" s="148"/>
      <c r="F932" s="148"/>
      <c r="G932" s="148"/>
      <c r="H932" s="152"/>
      <c r="I932" s="153"/>
      <c r="J932" s="154"/>
      <c r="K932" s="153"/>
    </row>
    <row r="933" spans="1:11" ht="15.75" customHeight="1" x14ac:dyDescent="0.25">
      <c r="A933" s="148"/>
      <c r="B933" s="151"/>
      <c r="C933" s="151"/>
      <c r="D933" s="148"/>
      <c r="E933" s="148"/>
      <c r="F933" s="148"/>
      <c r="G933" s="148"/>
      <c r="H933" s="152"/>
      <c r="I933" s="153"/>
      <c r="J933" s="154"/>
      <c r="K933" s="153"/>
    </row>
    <row r="934" spans="1:11" ht="15.75" customHeight="1" x14ac:dyDescent="0.25">
      <c r="A934" s="148"/>
      <c r="B934" s="151"/>
      <c r="C934" s="151"/>
      <c r="D934" s="148"/>
      <c r="E934" s="148"/>
      <c r="F934" s="148"/>
      <c r="G934" s="148"/>
      <c r="H934" s="152"/>
      <c r="I934" s="153"/>
      <c r="J934" s="154"/>
      <c r="K934" s="153"/>
    </row>
    <row r="935" spans="1:11" ht="15.75" customHeight="1" x14ac:dyDescent="0.25">
      <c r="A935" s="148"/>
      <c r="B935" s="151"/>
      <c r="C935" s="151"/>
      <c r="D935" s="148"/>
      <c r="E935" s="148"/>
      <c r="F935" s="148"/>
      <c r="G935" s="148"/>
      <c r="H935" s="152"/>
      <c r="I935" s="153"/>
      <c r="J935" s="154"/>
      <c r="K935" s="153"/>
    </row>
    <row r="936" spans="1:11" ht="15.75" customHeight="1" x14ac:dyDescent="0.25">
      <c r="A936" s="148"/>
      <c r="B936" s="151"/>
      <c r="C936" s="151"/>
      <c r="D936" s="148"/>
      <c r="E936" s="148"/>
      <c r="F936" s="148"/>
      <c r="G936" s="148"/>
      <c r="H936" s="152"/>
      <c r="I936" s="153"/>
      <c r="J936" s="154"/>
      <c r="K936" s="153"/>
    </row>
    <row r="937" spans="1:11" ht="15.75" customHeight="1" x14ac:dyDescent="0.25">
      <c r="A937" s="148"/>
      <c r="B937" s="151"/>
      <c r="C937" s="151"/>
      <c r="D937" s="148"/>
      <c r="E937" s="148"/>
      <c r="F937" s="148"/>
      <c r="G937" s="148"/>
      <c r="H937" s="152"/>
      <c r="I937" s="153"/>
      <c r="J937" s="154"/>
      <c r="K937" s="153"/>
    </row>
    <row r="938" spans="1:11" ht="15.75" customHeight="1" x14ac:dyDescent="0.25">
      <c r="A938" s="148"/>
      <c r="B938" s="151"/>
      <c r="C938" s="151"/>
      <c r="D938" s="148"/>
      <c r="E938" s="148"/>
      <c r="F938" s="148"/>
      <c r="G938" s="148"/>
      <c r="H938" s="152"/>
      <c r="I938" s="153"/>
      <c r="J938" s="154"/>
      <c r="K938" s="153"/>
    </row>
    <row r="939" spans="1:11" ht="15.75" customHeight="1" x14ac:dyDescent="0.25">
      <c r="A939" s="148"/>
      <c r="B939" s="151"/>
      <c r="C939" s="151"/>
      <c r="D939" s="148"/>
      <c r="E939" s="148"/>
      <c r="F939" s="148"/>
      <c r="G939" s="148"/>
      <c r="H939" s="152"/>
      <c r="I939" s="153"/>
      <c r="J939" s="154"/>
      <c r="K939" s="153"/>
    </row>
    <row r="940" spans="1:11" ht="15.75" customHeight="1" x14ac:dyDescent="0.25">
      <c r="A940" s="148"/>
      <c r="B940" s="151"/>
      <c r="C940" s="151"/>
      <c r="D940" s="148"/>
      <c r="E940" s="148"/>
      <c r="F940" s="148"/>
      <c r="G940" s="148"/>
      <c r="H940" s="152"/>
      <c r="I940" s="153"/>
      <c r="J940" s="154"/>
      <c r="K940" s="153"/>
    </row>
    <row r="941" spans="1:11" ht="15.75" customHeight="1" x14ac:dyDescent="0.25">
      <c r="A941" s="148"/>
      <c r="B941" s="151"/>
      <c r="C941" s="151"/>
      <c r="D941" s="148"/>
      <c r="E941" s="148"/>
      <c r="F941" s="148"/>
      <c r="G941" s="148"/>
      <c r="H941" s="152"/>
      <c r="I941" s="153"/>
      <c r="J941" s="154"/>
      <c r="K941" s="153"/>
    </row>
    <row r="942" spans="1:11" ht="15.75" customHeight="1" x14ac:dyDescent="0.25">
      <c r="A942" s="148"/>
      <c r="B942" s="151"/>
      <c r="C942" s="151"/>
      <c r="D942" s="148"/>
      <c r="E942" s="148"/>
      <c r="F942" s="148"/>
      <c r="G942" s="148"/>
      <c r="H942" s="152"/>
      <c r="I942" s="153"/>
      <c r="J942" s="154"/>
      <c r="K942" s="153"/>
    </row>
    <row r="943" spans="1:11" ht="15.75" customHeight="1" x14ac:dyDescent="0.25">
      <c r="A943" s="148"/>
      <c r="B943" s="151"/>
      <c r="C943" s="151"/>
      <c r="D943" s="148"/>
      <c r="E943" s="148"/>
      <c r="F943" s="148"/>
      <c r="G943" s="148"/>
      <c r="H943" s="152"/>
      <c r="I943" s="153"/>
      <c r="J943" s="154"/>
      <c r="K943" s="153"/>
    </row>
    <row r="944" spans="1:11" ht="15.75" customHeight="1" x14ac:dyDescent="0.25">
      <c r="A944" s="148"/>
      <c r="B944" s="151"/>
      <c r="C944" s="151"/>
      <c r="D944" s="148"/>
      <c r="E944" s="148"/>
      <c r="F944" s="148"/>
      <c r="G944" s="148"/>
      <c r="H944" s="152"/>
      <c r="I944" s="153"/>
      <c r="J944" s="154"/>
      <c r="K944" s="153"/>
    </row>
    <row r="945" spans="1:11" ht="15.75" customHeight="1" x14ac:dyDescent="0.25">
      <c r="A945" s="148"/>
      <c r="B945" s="151"/>
      <c r="C945" s="151"/>
      <c r="D945" s="148"/>
      <c r="E945" s="148"/>
      <c r="F945" s="148"/>
      <c r="G945" s="148"/>
      <c r="H945" s="152"/>
      <c r="I945" s="153"/>
      <c r="J945" s="154"/>
      <c r="K945" s="153"/>
    </row>
    <row r="946" spans="1:11" ht="15.75" customHeight="1" x14ac:dyDescent="0.25">
      <c r="A946" s="148"/>
      <c r="B946" s="151"/>
      <c r="C946" s="151"/>
      <c r="D946" s="148"/>
      <c r="E946" s="148"/>
      <c r="F946" s="148"/>
      <c r="G946" s="148"/>
      <c r="H946" s="152"/>
      <c r="I946" s="153"/>
      <c r="J946" s="154"/>
      <c r="K946" s="153"/>
    </row>
    <row r="947" spans="1:11" ht="15.75" customHeight="1" x14ac:dyDescent="0.25">
      <c r="A947" s="148"/>
      <c r="B947" s="151"/>
      <c r="C947" s="151"/>
      <c r="D947" s="148"/>
      <c r="E947" s="148"/>
      <c r="F947" s="148"/>
      <c r="G947" s="148"/>
      <c r="H947" s="152"/>
      <c r="I947" s="153"/>
      <c r="J947" s="154"/>
      <c r="K947" s="153"/>
    </row>
    <row r="948" spans="1:11" ht="15.75" customHeight="1" x14ac:dyDescent="0.25">
      <c r="A948" s="148"/>
      <c r="B948" s="151"/>
      <c r="C948" s="151"/>
      <c r="D948" s="148"/>
      <c r="E948" s="148"/>
      <c r="F948" s="148"/>
      <c r="G948" s="148"/>
      <c r="H948" s="152"/>
      <c r="I948" s="153"/>
      <c r="J948" s="154"/>
      <c r="K948" s="153"/>
    </row>
    <row r="949" spans="1:11" ht="15.75" customHeight="1" x14ac:dyDescent="0.25">
      <c r="A949" s="148"/>
      <c r="B949" s="151"/>
      <c r="C949" s="151"/>
      <c r="D949" s="148"/>
      <c r="E949" s="148"/>
      <c r="F949" s="148"/>
      <c r="G949" s="148"/>
      <c r="H949" s="152"/>
      <c r="I949" s="153"/>
      <c r="J949" s="154"/>
      <c r="K949" s="153"/>
    </row>
    <row r="950" spans="1:11" ht="15.75" customHeight="1" x14ac:dyDescent="0.25">
      <c r="A950" s="148"/>
      <c r="B950" s="151"/>
      <c r="C950" s="151"/>
      <c r="D950" s="148"/>
      <c r="E950" s="148"/>
      <c r="F950" s="148"/>
      <c r="G950" s="148"/>
      <c r="H950" s="152"/>
      <c r="I950" s="153"/>
      <c r="J950" s="154"/>
      <c r="K950" s="153"/>
    </row>
    <row r="951" spans="1:11" ht="15.75" customHeight="1" x14ac:dyDescent="0.25">
      <c r="A951" s="148"/>
      <c r="B951" s="151"/>
      <c r="C951" s="151"/>
      <c r="D951" s="148"/>
      <c r="E951" s="148"/>
      <c r="F951" s="148"/>
      <c r="G951" s="148"/>
      <c r="H951" s="152"/>
      <c r="I951" s="153"/>
      <c r="J951" s="154"/>
      <c r="K951" s="153"/>
    </row>
    <row r="952" spans="1:11" ht="15.75" customHeight="1" x14ac:dyDescent="0.25">
      <c r="A952" s="148"/>
      <c r="B952" s="151"/>
      <c r="C952" s="151"/>
      <c r="D952" s="148"/>
      <c r="E952" s="148"/>
      <c r="F952" s="148"/>
      <c r="G952" s="148"/>
      <c r="H952" s="152"/>
      <c r="I952" s="153"/>
      <c r="J952" s="154"/>
      <c r="K952" s="153"/>
    </row>
    <row r="953" spans="1:11" ht="15.75" customHeight="1" x14ac:dyDescent="0.25">
      <c r="A953" s="148"/>
      <c r="B953" s="151"/>
      <c r="C953" s="151"/>
      <c r="D953" s="148"/>
      <c r="E953" s="148"/>
      <c r="F953" s="148"/>
      <c r="G953" s="148"/>
      <c r="H953" s="152"/>
      <c r="I953" s="153"/>
      <c r="J953" s="154"/>
      <c r="K953" s="153"/>
    </row>
    <row r="954" spans="1:11" ht="15.75" customHeight="1" x14ac:dyDescent="0.25">
      <c r="A954" s="148"/>
      <c r="B954" s="151"/>
      <c r="C954" s="151"/>
      <c r="D954" s="148"/>
      <c r="E954" s="148"/>
      <c r="F954" s="148"/>
      <c r="G954" s="148"/>
      <c r="H954" s="152"/>
      <c r="I954" s="153"/>
      <c r="J954" s="154"/>
      <c r="K954" s="153"/>
    </row>
    <row r="955" spans="1:11" ht="15.75" customHeight="1" x14ac:dyDescent="0.25">
      <c r="A955" s="148"/>
      <c r="B955" s="151"/>
      <c r="C955" s="151"/>
      <c r="D955" s="148"/>
      <c r="E955" s="148"/>
      <c r="F955" s="148"/>
      <c r="G955" s="148"/>
      <c r="H955" s="152"/>
      <c r="I955" s="153"/>
      <c r="J955" s="154"/>
      <c r="K955" s="153"/>
    </row>
    <row r="956" spans="1:11" ht="15.75" customHeight="1" x14ac:dyDescent="0.25">
      <c r="A956" s="148"/>
      <c r="B956" s="151"/>
      <c r="C956" s="151"/>
      <c r="D956" s="148"/>
      <c r="E956" s="148"/>
      <c r="F956" s="148"/>
      <c r="G956" s="148"/>
      <c r="H956" s="152"/>
      <c r="I956" s="153"/>
      <c r="J956" s="154"/>
      <c r="K956" s="153"/>
    </row>
    <row r="957" spans="1:11" ht="15.75" customHeight="1" x14ac:dyDescent="0.25">
      <c r="A957" s="148"/>
      <c r="B957" s="151"/>
      <c r="C957" s="151"/>
      <c r="D957" s="148"/>
      <c r="E957" s="148"/>
      <c r="F957" s="148"/>
      <c r="G957" s="148"/>
      <c r="H957" s="152"/>
      <c r="I957" s="153"/>
      <c r="J957" s="154"/>
      <c r="K957" s="153"/>
    </row>
    <row r="958" spans="1:11" ht="15.75" customHeight="1" x14ac:dyDescent="0.25">
      <c r="A958" s="148"/>
      <c r="B958" s="151"/>
      <c r="C958" s="151"/>
      <c r="D958" s="148"/>
      <c r="E958" s="148"/>
      <c r="F958" s="148"/>
      <c r="G958" s="148"/>
      <c r="H958" s="152"/>
      <c r="I958" s="153"/>
      <c r="J958" s="154"/>
      <c r="K958" s="153"/>
    </row>
    <row r="959" spans="1:11" ht="15.75" customHeight="1" x14ac:dyDescent="0.25">
      <c r="A959" s="148"/>
      <c r="B959" s="151"/>
      <c r="C959" s="151"/>
      <c r="D959" s="148"/>
      <c r="E959" s="148"/>
      <c r="F959" s="148"/>
      <c r="G959" s="148"/>
      <c r="H959" s="152"/>
      <c r="I959" s="153"/>
      <c r="J959" s="154"/>
      <c r="K959" s="153"/>
    </row>
    <row r="960" spans="1:11" ht="15.75" customHeight="1" x14ac:dyDescent="0.25">
      <c r="A960" s="148"/>
      <c r="B960" s="151"/>
      <c r="C960" s="151"/>
      <c r="D960" s="148"/>
      <c r="E960" s="148"/>
      <c r="F960" s="148"/>
      <c r="G960" s="148"/>
      <c r="H960" s="152"/>
      <c r="I960" s="153"/>
      <c r="J960" s="154"/>
      <c r="K960" s="153"/>
    </row>
    <row r="961" spans="1:11" ht="15.75" customHeight="1" x14ac:dyDescent="0.25">
      <c r="A961" s="148"/>
      <c r="B961" s="151"/>
      <c r="C961" s="151"/>
      <c r="D961" s="148"/>
      <c r="E961" s="148"/>
      <c r="F961" s="148"/>
      <c r="G961" s="148"/>
      <c r="H961" s="152"/>
      <c r="I961" s="153"/>
      <c r="J961" s="154"/>
      <c r="K961" s="153"/>
    </row>
    <row r="962" spans="1:11" ht="15.75" customHeight="1" x14ac:dyDescent="0.25">
      <c r="A962" s="148"/>
      <c r="B962" s="151"/>
      <c r="C962" s="151"/>
      <c r="D962" s="148"/>
      <c r="E962" s="148"/>
      <c r="F962" s="148"/>
      <c r="G962" s="148"/>
      <c r="H962" s="152"/>
      <c r="I962" s="153"/>
      <c r="J962" s="154"/>
      <c r="K962" s="153"/>
    </row>
    <row r="963" spans="1:11" ht="15.75" customHeight="1" x14ac:dyDescent="0.25">
      <c r="A963" s="148"/>
      <c r="B963" s="151"/>
      <c r="C963" s="151"/>
      <c r="D963" s="148"/>
      <c r="E963" s="148"/>
      <c r="F963" s="148"/>
      <c r="G963" s="148"/>
      <c r="H963" s="152"/>
      <c r="I963" s="153"/>
      <c r="J963" s="154"/>
      <c r="K963" s="153"/>
    </row>
    <row r="964" spans="1:11" ht="15.75" customHeight="1" x14ac:dyDescent="0.25">
      <c r="A964" s="148"/>
      <c r="B964" s="151"/>
      <c r="C964" s="151"/>
      <c r="D964" s="148"/>
      <c r="E964" s="148"/>
      <c r="F964" s="148"/>
      <c r="G964" s="148"/>
      <c r="H964" s="152"/>
      <c r="I964" s="153"/>
      <c r="J964" s="154"/>
      <c r="K964" s="153"/>
    </row>
    <row r="965" spans="1:11" ht="15.75" customHeight="1" x14ac:dyDescent="0.25">
      <c r="A965" s="148"/>
      <c r="B965" s="151"/>
      <c r="C965" s="151"/>
      <c r="D965" s="148"/>
      <c r="E965" s="148"/>
      <c r="F965" s="148"/>
      <c r="G965" s="148"/>
      <c r="H965" s="152"/>
      <c r="I965" s="153"/>
      <c r="J965" s="154"/>
      <c r="K965" s="153"/>
    </row>
    <row r="966" spans="1:11" ht="15.75" customHeight="1" x14ac:dyDescent="0.25">
      <c r="A966" s="148"/>
      <c r="B966" s="151"/>
      <c r="C966" s="151"/>
      <c r="D966" s="148"/>
      <c r="E966" s="148"/>
      <c r="F966" s="148"/>
      <c r="G966" s="148"/>
      <c r="H966" s="152"/>
      <c r="I966" s="153"/>
      <c r="J966" s="154"/>
      <c r="K966" s="153"/>
    </row>
    <row r="967" spans="1:11" ht="15.75" customHeight="1" x14ac:dyDescent="0.25">
      <c r="A967" s="148"/>
      <c r="B967" s="151"/>
      <c r="C967" s="151"/>
      <c r="D967" s="148"/>
      <c r="E967" s="148"/>
      <c r="F967" s="148"/>
      <c r="G967" s="148"/>
      <c r="H967" s="152"/>
      <c r="I967" s="153"/>
      <c r="J967" s="154"/>
      <c r="K967" s="153"/>
    </row>
    <row r="968" spans="1:11" ht="15.75" customHeight="1" x14ac:dyDescent="0.25">
      <c r="A968" s="148"/>
      <c r="B968" s="151"/>
      <c r="C968" s="151"/>
      <c r="D968" s="148"/>
      <c r="E968" s="148"/>
      <c r="F968" s="148"/>
      <c r="G968" s="148"/>
      <c r="H968" s="152"/>
      <c r="I968" s="153"/>
      <c r="J968" s="154"/>
      <c r="K968" s="153"/>
    </row>
    <row r="969" spans="1:11" ht="15.75" customHeight="1" x14ac:dyDescent="0.25">
      <c r="A969" s="148"/>
      <c r="B969" s="151"/>
      <c r="C969" s="151"/>
      <c r="D969" s="148"/>
      <c r="E969" s="148"/>
      <c r="F969" s="148"/>
      <c r="G969" s="148"/>
      <c r="H969" s="152"/>
      <c r="I969" s="153"/>
      <c r="J969" s="154"/>
      <c r="K969" s="153"/>
    </row>
    <row r="970" spans="1:11" ht="15.75" customHeight="1" x14ac:dyDescent="0.25">
      <c r="A970" s="148"/>
      <c r="B970" s="151"/>
      <c r="C970" s="151"/>
      <c r="D970" s="148"/>
      <c r="E970" s="148"/>
      <c r="F970" s="148"/>
      <c r="G970" s="148"/>
      <c r="H970" s="152"/>
      <c r="I970" s="153"/>
      <c r="J970" s="154"/>
      <c r="K970" s="153"/>
    </row>
    <row r="971" spans="1:11" ht="15.75" customHeight="1" x14ac:dyDescent="0.25">
      <c r="A971" s="148"/>
      <c r="B971" s="151"/>
      <c r="C971" s="151"/>
      <c r="D971" s="148"/>
      <c r="E971" s="148"/>
      <c r="F971" s="148"/>
      <c r="G971" s="148"/>
      <c r="H971" s="152"/>
      <c r="I971" s="153"/>
      <c r="J971" s="154"/>
      <c r="K971" s="153"/>
    </row>
    <row r="972" spans="1:11" ht="15.75" customHeight="1" x14ac:dyDescent="0.25">
      <c r="A972" s="148"/>
      <c r="B972" s="151"/>
      <c r="C972" s="151"/>
      <c r="D972" s="148"/>
      <c r="E972" s="148"/>
      <c r="F972" s="148"/>
      <c r="G972" s="148"/>
      <c r="H972" s="152"/>
      <c r="I972" s="153"/>
      <c r="J972" s="154"/>
      <c r="K972" s="153"/>
    </row>
    <row r="973" spans="1:11" ht="15.75" customHeight="1" x14ac:dyDescent="0.25">
      <c r="A973" s="148"/>
      <c r="B973" s="151"/>
      <c r="C973" s="151"/>
      <c r="D973" s="148"/>
      <c r="E973" s="148"/>
      <c r="F973" s="148"/>
      <c r="G973" s="148"/>
      <c r="H973" s="152"/>
      <c r="I973" s="153"/>
      <c r="J973" s="154"/>
      <c r="K973" s="153"/>
    </row>
    <row r="974" spans="1:11" ht="15.75" customHeight="1" x14ac:dyDescent="0.25">
      <c r="A974" s="148"/>
      <c r="B974" s="151"/>
      <c r="C974" s="151"/>
      <c r="D974" s="148"/>
      <c r="E974" s="148"/>
      <c r="F974" s="148"/>
      <c r="G974" s="148"/>
      <c r="H974" s="152"/>
      <c r="I974" s="153"/>
      <c r="J974" s="154"/>
      <c r="K974" s="153"/>
    </row>
    <row r="975" spans="1:11" ht="15.75" customHeight="1" x14ac:dyDescent="0.25">
      <c r="A975" s="148"/>
      <c r="B975" s="151"/>
      <c r="C975" s="151"/>
      <c r="D975" s="148"/>
      <c r="E975" s="148"/>
      <c r="F975" s="148"/>
      <c r="G975" s="148"/>
      <c r="H975" s="152"/>
      <c r="I975" s="153"/>
      <c r="J975" s="154"/>
      <c r="K975" s="153"/>
    </row>
    <row r="976" spans="1:11" ht="15.75" customHeight="1" x14ac:dyDescent="0.25">
      <c r="A976" s="148"/>
      <c r="B976" s="151"/>
      <c r="C976" s="151"/>
      <c r="D976" s="148"/>
      <c r="E976" s="148"/>
      <c r="F976" s="148"/>
      <c r="G976" s="148"/>
      <c r="H976" s="152"/>
      <c r="I976" s="153"/>
      <c r="J976" s="154"/>
      <c r="K976" s="153"/>
    </row>
    <row r="977" spans="1:11" ht="15.75" customHeight="1" x14ac:dyDescent="0.25">
      <c r="A977" s="148"/>
      <c r="B977" s="151"/>
      <c r="C977" s="151"/>
      <c r="D977" s="148"/>
      <c r="E977" s="148"/>
      <c r="F977" s="148"/>
      <c r="G977" s="148"/>
      <c r="H977" s="152"/>
      <c r="I977" s="153"/>
      <c r="J977" s="154"/>
      <c r="K977" s="153"/>
    </row>
    <row r="978" spans="1:11" ht="15.75" customHeight="1" x14ac:dyDescent="0.25">
      <c r="A978" s="148"/>
      <c r="B978" s="151"/>
      <c r="C978" s="151"/>
      <c r="D978" s="148"/>
      <c r="E978" s="148"/>
      <c r="F978" s="148"/>
      <c r="G978" s="148"/>
      <c r="H978" s="152"/>
      <c r="I978" s="153"/>
      <c r="J978" s="154"/>
      <c r="K978" s="153"/>
    </row>
    <row r="979" spans="1:11" ht="15.75" customHeight="1" x14ac:dyDescent="0.25">
      <c r="A979" s="148"/>
      <c r="B979" s="151"/>
      <c r="C979" s="151"/>
      <c r="D979" s="148"/>
      <c r="E979" s="148"/>
      <c r="F979" s="148"/>
      <c r="G979" s="148"/>
      <c r="H979" s="152"/>
      <c r="I979" s="153"/>
      <c r="J979" s="154"/>
      <c r="K979" s="153"/>
    </row>
    <row r="980" spans="1:11" ht="15.75" customHeight="1" x14ac:dyDescent="0.25">
      <c r="A980" s="148"/>
      <c r="B980" s="151"/>
      <c r="C980" s="151"/>
      <c r="D980" s="148"/>
      <c r="E980" s="148"/>
      <c r="F980" s="148"/>
      <c r="G980" s="148"/>
      <c r="H980" s="152"/>
      <c r="I980" s="153"/>
      <c r="J980" s="154"/>
      <c r="K980" s="153"/>
    </row>
    <row r="981" spans="1:11" ht="15.75" customHeight="1" x14ac:dyDescent="0.25">
      <c r="A981" s="148"/>
      <c r="B981" s="151"/>
      <c r="C981" s="151"/>
      <c r="D981" s="148"/>
      <c r="E981" s="148"/>
      <c r="F981" s="148"/>
      <c r="G981" s="148"/>
      <c r="H981" s="152"/>
      <c r="I981" s="153"/>
      <c r="J981" s="154"/>
      <c r="K981" s="153"/>
    </row>
    <row r="982" spans="1:11" ht="15.75" customHeight="1" x14ac:dyDescent="0.25">
      <c r="A982" s="148"/>
      <c r="B982" s="151"/>
      <c r="C982" s="151"/>
      <c r="D982" s="148"/>
      <c r="E982" s="148"/>
      <c r="F982" s="148"/>
      <c r="G982" s="148"/>
      <c r="H982" s="152"/>
      <c r="I982" s="153"/>
      <c r="J982" s="154"/>
      <c r="K982" s="153"/>
    </row>
    <row r="983" spans="1:11" ht="15.75" customHeight="1" x14ac:dyDescent="0.25">
      <c r="A983" s="148"/>
      <c r="B983" s="151"/>
      <c r="C983" s="151"/>
      <c r="D983" s="148"/>
      <c r="E983" s="148"/>
      <c r="F983" s="148"/>
      <c r="G983" s="148"/>
      <c r="H983" s="152"/>
      <c r="I983" s="153"/>
      <c r="J983" s="154"/>
      <c r="K983" s="153"/>
    </row>
    <row r="984" spans="1:11" ht="15.75" customHeight="1" x14ac:dyDescent="0.25">
      <c r="A984" s="148"/>
      <c r="B984" s="151"/>
      <c r="C984" s="151"/>
      <c r="D984" s="148"/>
      <c r="E984" s="148"/>
      <c r="F984" s="148"/>
      <c r="G984" s="148"/>
      <c r="H984" s="152"/>
      <c r="I984" s="153"/>
      <c r="J984" s="154"/>
      <c r="K984" s="153"/>
    </row>
    <row r="985" spans="1:11" ht="15.75" customHeight="1" x14ac:dyDescent="0.25">
      <c r="A985" s="148"/>
      <c r="B985" s="151"/>
      <c r="C985" s="151"/>
      <c r="D985" s="148"/>
      <c r="E985" s="148"/>
      <c r="F985" s="148"/>
      <c r="G985" s="148"/>
      <c r="H985" s="152"/>
      <c r="I985" s="153"/>
      <c r="J985" s="154"/>
      <c r="K985" s="153"/>
    </row>
    <row r="986" spans="1:11" ht="15.75" customHeight="1" x14ac:dyDescent="0.25">
      <c r="A986" s="148"/>
      <c r="B986" s="151"/>
      <c r="C986" s="151"/>
      <c r="D986" s="148"/>
      <c r="E986" s="148"/>
      <c r="F986" s="148"/>
      <c r="G986" s="148"/>
      <c r="H986" s="152"/>
      <c r="I986" s="153"/>
      <c r="J986" s="154"/>
      <c r="K986" s="153"/>
    </row>
    <row r="987" spans="1:11" ht="15.75" customHeight="1" x14ac:dyDescent="0.25">
      <c r="A987" s="148"/>
      <c r="B987" s="151"/>
      <c r="C987" s="151"/>
      <c r="D987" s="148"/>
      <c r="E987" s="148"/>
      <c r="F987" s="148"/>
      <c r="G987" s="148"/>
      <c r="H987" s="152"/>
      <c r="I987" s="153"/>
      <c r="J987" s="154"/>
      <c r="K987" s="153"/>
    </row>
    <row r="988" spans="1:11" ht="15.75" customHeight="1" x14ac:dyDescent="0.25">
      <c r="A988" s="148"/>
      <c r="B988" s="151"/>
      <c r="C988" s="151"/>
      <c r="D988" s="148"/>
      <c r="E988" s="148"/>
      <c r="F988" s="148"/>
      <c r="G988" s="148"/>
      <c r="H988" s="152"/>
      <c r="I988" s="153"/>
      <c r="J988" s="154"/>
      <c r="K988" s="153"/>
    </row>
    <row r="989" spans="1:11" ht="15.75" customHeight="1" x14ac:dyDescent="0.25">
      <c r="A989" s="148"/>
      <c r="B989" s="151"/>
      <c r="C989" s="151"/>
      <c r="D989" s="148"/>
      <c r="E989" s="148"/>
      <c r="F989" s="148"/>
      <c r="G989" s="148"/>
      <c r="H989" s="152"/>
      <c r="I989" s="153"/>
      <c r="J989" s="154"/>
      <c r="K989" s="153"/>
    </row>
    <row r="990" spans="1:11" ht="15.75" customHeight="1" x14ac:dyDescent="0.25">
      <c r="A990" s="148"/>
      <c r="B990" s="151"/>
      <c r="C990" s="151"/>
      <c r="D990" s="148"/>
      <c r="E990" s="148"/>
      <c r="F990" s="148"/>
      <c r="G990" s="148"/>
      <c r="H990" s="152"/>
      <c r="I990" s="153"/>
      <c r="J990" s="154"/>
      <c r="K990" s="153"/>
    </row>
    <row r="991" spans="1:11" ht="15.75" customHeight="1" x14ac:dyDescent="0.25">
      <c r="A991" s="148"/>
      <c r="B991" s="151"/>
      <c r="C991" s="151"/>
      <c r="D991" s="148"/>
      <c r="E991" s="148"/>
      <c r="F991" s="148"/>
      <c r="G991" s="148"/>
      <c r="H991" s="152"/>
      <c r="I991" s="153"/>
      <c r="J991" s="154"/>
      <c r="K991" s="153"/>
    </row>
    <row r="992" spans="1:11" ht="15.75" customHeight="1" x14ac:dyDescent="0.25">
      <c r="A992" s="148"/>
      <c r="B992" s="151"/>
      <c r="C992" s="151"/>
      <c r="D992" s="148"/>
      <c r="E992" s="148"/>
      <c r="F992" s="148"/>
      <c r="G992" s="148"/>
      <c r="H992" s="152"/>
      <c r="I992" s="153"/>
      <c r="J992" s="154"/>
      <c r="K992" s="153"/>
    </row>
    <row r="993" spans="1:11" ht="15.75" customHeight="1" x14ac:dyDescent="0.25">
      <c r="A993" s="148"/>
      <c r="B993" s="151"/>
      <c r="C993" s="151"/>
      <c r="D993" s="148"/>
      <c r="E993" s="148"/>
      <c r="F993" s="148"/>
      <c r="G993" s="148"/>
      <c r="H993" s="152"/>
      <c r="I993" s="153"/>
      <c r="J993" s="154"/>
      <c r="K993" s="153"/>
    </row>
    <row r="994" spans="1:11" ht="15.75" customHeight="1" x14ac:dyDescent="0.25">
      <c r="A994" s="148"/>
      <c r="B994" s="151"/>
      <c r="C994" s="151"/>
      <c r="D994" s="148"/>
      <c r="E994" s="148"/>
      <c r="F994" s="148"/>
      <c r="G994" s="148"/>
      <c r="H994" s="152"/>
      <c r="I994" s="153"/>
      <c r="J994" s="154"/>
      <c r="K994" s="153"/>
    </row>
    <row r="995" spans="1:11" ht="15.75" customHeight="1" x14ac:dyDescent="0.25">
      <c r="A995" s="148"/>
      <c r="B995" s="151"/>
      <c r="C995" s="151"/>
      <c r="D995" s="148"/>
      <c r="E995" s="148"/>
      <c r="F995" s="148"/>
      <c r="G995" s="148"/>
      <c r="H995" s="152"/>
      <c r="I995" s="153"/>
      <c r="J995" s="154"/>
      <c r="K995" s="153"/>
    </row>
    <row r="996" spans="1:11" ht="15.75" customHeight="1" x14ac:dyDescent="0.25">
      <c r="A996" s="148"/>
      <c r="B996" s="151"/>
      <c r="C996" s="151"/>
      <c r="D996" s="148"/>
      <c r="E996" s="148"/>
      <c r="F996" s="148"/>
      <c r="G996" s="148"/>
      <c r="H996" s="152"/>
      <c r="I996" s="153"/>
      <c r="J996" s="154"/>
      <c r="K996" s="153"/>
    </row>
    <row r="997" spans="1:11" ht="15.75" customHeight="1" x14ac:dyDescent="0.25">
      <c r="A997" s="148"/>
      <c r="B997" s="151"/>
      <c r="C997" s="151"/>
      <c r="D997" s="148"/>
      <c r="E997" s="148"/>
      <c r="F997" s="148"/>
      <c r="G997" s="148"/>
      <c r="H997" s="152"/>
      <c r="I997" s="153"/>
      <c r="J997" s="154"/>
      <c r="K997" s="153"/>
    </row>
    <row r="998" spans="1:11" ht="15.75" customHeight="1" x14ac:dyDescent="0.25">
      <c r="A998" s="148"/>
      <c r="B998" s="151"/>
      <c r="C998" s="151"/>
      <c r="D998" s="148"/>
      <c r="E998" s="148"/>
      <c r="F998" s="148"/>
      <c r="G998" s="148"/>
      <c r="H998" s="152"/>
      <c r="I998" s="153"/>
      <c r="J998" s="154"/>
      <c r="K998" s="153"/>
    </row>
    <row r="999" spans="1:11" ht="15.75" customHeight="1" x14ac:dyDescent="0.25">
      <c r="A999" s="148"/>
      <c r="B999" s="151"/>
      <c r="C999" s="151"/>
      <c r="D999" s="148"/>
      <c r="E999" s="148"/>
      <c r="F999" s="148"/>
      <c r="G999" s="148"/>
      <c r="H999" s="152"/>
      <c r="I999" s="153"/>
      <c r="J999" s="154"/>
      <c r="K999" s="153"/>
    </row>
    <row r="1000" spans="1:11" ht="15.75" customHeight="1" x14ac:dyDescent="0.25">
      <c r="A1000" s="148"/>
      <c r="B1000" s="151"/>
      <c r="C1000" s="151"/>
      <c r="D1000" s="148"/>
      <c r="E1000" s="148"/>
      <c r="F1000" s="148"/>
      <c r="G1000" s="148"/>
      <c r="H1000" s="152"/>
      <c r="I1000" s="153"/>
      <c r="J1000" s="154"/>
      <c r="K1000" s="153"/>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CC89-C644-45A6-AF31-007C4AA071A7}">
  <dimension ref="A1:K12"/>
  <sheetViews>
    <sheetView workbookViewId="0">
      <selection activeCell="D18" sqref="D18"/>
    </sheetView>
  </sheetViews>
  <sheetFormatPr defaultRowHeight="15" x14ac:dyDescent="0.25"/>
  <cols>
    <col min="3" max="3" width="12.5703125" customWidth="1"/>
    <col min="4" max="4" width="17" customWidth="1"/>
    <col min="5" max="5" width="38.7109375" customWidth="1"/>
    <col min="8" max="8" width="14.140625" customWidth="1"/>
    <col min="9" max="9" width="15.7109375" customWidth="1"/>
    <col min="10" max="10" width="19.28515625" customWidth="1"/>
  </cols>
  <sheetData>
    <row r="1" spans="1:11" ht="15.75" thickBot="1" x14ac:dyDescent="0.3">
      <c r="A1" s="139" t="s">
        <v>644</v>
      </c>
      <c r="B1" s="140"/>
      <c r="C1" s="140"/>
      <c r="D1" s="140"/>
    </row>
    <row r="2" spans="1:11" x14ac:dyDescent="0.25">
      <c r="A2" s="28" t="s">
        <v>0</v>
      </c>
      <c r="B2" s="29" t="s">
        <v>1</v>
      </c>
      <c r="C2" s="30" t="s">
        <v>2</v>
      </c>
      <c r="D2" s="29" t="s">
        <v>3</v>
      </c>
      <c r="E2" s="29" t="s">
        <v>4</v>
      </c>
      <c r="F2" s="29" t="s">
        <v>5</v>
      </c>
      <c r="G2" s="29" t="s">
        <v>6</v>
      </c>
      <c r="H2" s="29" t="s">
        <v>7</v>
      </c>
      <c r="I2" s="31" t="s">
        <v>8</v>
      </c>
      <c r="J2" s="32" t="s">
        <v>612</v>
      </c>
      <c r="K2" s="33" t="s">
        <v>9</v>
      </c>
    </row>
    <row r="3" spans="1:11" x14ac:dyDescent="0.25">
      <c r="A3" s="34" t="s">
        <v>440</v>
      </c>
      <c r="B3" s="24" t="s">
        <v>32</v>
      </c>
      <c r="C3" s="25" t="s">
        <v>415</v>
      </c>
      <c r="D3" s="24" t="s">
        <v>34</v>
      </c>
      <c r="E3" s="24" t="s">
        <v>35</v>
      </c>
      <c r="F3" s="24">
        <v>84</v>
      </c>
      <c r="G3" s="24">
        <v>897</v>
      </c>
      <c r="H3" s="24">
        <v>85</v>
      </c>
      <c r="I3" s="26">
        <v>588</v>
      </c>
      <c r="J3" s="27">
        <f t="shared" ref="J3:J12" si="0">(F3+G3+H3)/I3</f>
        <v>1.8129251700680271</v>
      </c>
      <c r="K3" s="35">
        <v>8</v>
      </c>
    </row>
    <row r="4" spans="1:11" x14ac:dyDescent="0.25">
      <c r="A4" s="34" t="s">
        <v>168</v>
      </c>
      <c r="B4" s="24" t="s">
        <v>32</v>
      </c>
      <c r="C4" s="25" t="s">
        <v>169</v>
      </c>
      <c r="D4" s="24" t="s">
        <v>15</v>
      </c>
      <c r="E4" s="24" t="s">
        <v>81</v>
      </c>
      <c r="F4" s="24">
        <v>103</v>
      </c>
      <c r="G4" s="24">
        <v>770</v>
      </c>
      <c r="H4" s="24">
        <v>19</v>
      </c>
      <c r="I4" s="26">
        <v>1030</v>
      </c>
      <c r="J4" s="27">
        <f t="shared" si="0"/>
        <v>0.86601941747572819</v>
      </c>
      <c r="K4" s="35">
        <v>410</v>
      </c>
    </row>
    <row r="5" spans="1:11" x14ac:dyDescent="0.25">
      <c r="A5" s="34" t="s">
        <v>458</v>
      </c>
      <c r="B5" s="24" t="s">
        <v>13</v>
      </c>
      <c r="C5" s="25" t="s">
        <v>459</v>
      </c>
      <c r="D5" s="24" t="s">
        <v>34</v>
      </c>
      <c r="E5" s="24" t="s">
        <v>148</v>
      </c>
      <c r="F5" s="24">
        <v>249</v>
      </c>
      <c r="G5" s="24">
        <v>592</v>
      </c>
      <c r="H5" s="24">
        <v>230</v>
      </c>
      <c r="I5" s="26">
        <v>1494</v>
      </c>
      <c r="J5" s="27">
        <f t="shared" si="0"/>
        <v>0.7168674698795181</v>
      </c>
      <c r="K5" s="35">
        <v>1044</v>
      </c>
    </row>
    <row r="6" spans="1:11" x14ac:dyDescent="0.25">
      <c r="A6" s="34" t="s">
        <v>377</v>
      </c>
      <c r="B6" s="24" t="s">
        <v>32</v>
      </c>
      <c r="C6" s="25" t="s">
        <v>204</v>
      </c>
      <c r="D6" s="24" t="s">
        <v>73</v>
      </c>
      <c r="E6" s="24" t="s">
        <v>84</v>
      </c>
      <c r="F6" s="24">
        <v>129</v>
      </c>
      <c r="G6" s="24">
        <v>643</v>
      </c>
      <c r="H6" s="24">
        <v>136</v>
      </c>
      <c r="I6" s="26">
        <v>1290</v>
      </c>
      <c r="J6" s="27">
        <f t="shared" si="0"/>
        <v>0.70387596899224802</v>
      </c>
      <c r="K6" s="35">
        <v>839</v>
      </c>
    </row>
    <row r="7" spans="1:11" x14ac:dyDescent="0.25">
      <c r="A7" s="34" t="s">
        <v>371</v>
      </c>
      <c r="B7" s="24" t="s">
        <v>32</v>
      </c>
      <c r="C7" s="25" t="s">
        <v>372</v>
      </c>
      <c r="D7" s="24" t="s">
        <v>15</v>
      </c>
      <c r="E7" s="24" t="s">
        <v>81</v>
      </c>
      <c r="F7" s="24">
        <v>142</v>
      </c>
      <c r="G7" s="24">
        <v>784</v>
      </c>
      <c r="H7" s="24">
        <v>183</v>
      </c>
      <c r="I7" s="26">
        <v>1704</v>
      </c>
      <c r="J7" s="27">
        <f t="shared" si="0"/>
        <v>0.6508215962441315</v>
      </c>
      <c r="K7" s="35">
        <v>995</v>
      </c>
    </row>
    <row r="8" spans="1:11" x14ac:dyDescent="0.25">
      <c r="A8" s="34" t="s">
        <v>177</v>
      </c>
      <c r="B8" s="24" t="s">
        <v>13</v>
      </c>
      <c r="C8" s="25" t="s">
        <v>178</v>
      </c>
      <c r="D8" s="24" t="s">
        <v>44</v>
      </c>
      <c r="E8" s="24" t="s">
        <v>48</v>
      </c>
      <c r="F8" s="24">
        <v>53</v>
      </c>
      <c r="G8" s="24">
        <v>81</v>
      </c>
      <c r="H8" s="24">
        <v>379</v>
      </c>
      <c r="I8" s="26">
        <v>954</v>
      </c>
      <c r="J8" s="27">
        <f t="shared" si="0"/>
        <v>0.53773584905660377</v>
      </c>
      <c r="K8" s="35">
        <v>7</v>
      </c>
    </row>
    <row r="9" spans="1:11" x14ac:dyDescent="0.25">
      <c r="A9" s="34" t="s">
        <v>510</v>
      </c>
      <c r="B9" s="24" t="s">
        <v>13</v>
      </c>
      <c r="C9" s="25" t="s">
        <v>511</v>
      </c>
      <c r="D9" s="24" t="s">
        <v>51</v>
      </c>
      <c r="E9" s="24" t="s">
        <v>131</v>
      </c>
      <c r="F9" s="24">
        <v>59</v>
      </c>
      <c r="G9" s="24">
        <v>163</v>
      </c>
      <c r="H9" s="24">
        <v>93</v>
      </c>
      <c r="I9" s="26">
        <v>590</v>
      </c>
      <c r="J9" s="27">
        <f t="shared" si="0"/>
        <v>0.53389830508474578</v>
      </c>
      <c r="K9" s="35">
        <v>475</v>
      </c>
    </row>
    <row r="10" spans="1:11" x14ac:dyDescent="0.25">
      <c r="A10" s="34" t="s">
        <v>319</v>
      </c>
      <c r="B10" s="24" t="s">
        <v>26</v>
      </c>
      <c r="C10" s="25" t="s">
        <v>273</v>
      </c>
      <c r="D10" s="24" t="s">
        <v>44</v>
      </c>
      <c r="E10" s="24" t="s">
        <v>67</v>
      </c>
      <c r="F10" s="24">
        <v>80</v>
      </c>
      <c r="G10" s="24">
        <v>362</v>
      </c>
      <c r="H10" s="24">
        <v>80</v>
      </c>
      <c r="I10" s="26">
        <v>1040</v>
      </c>
      <c r="J10" s="27">
        <f t="shared" si="0"/>
        <v>0.50192307692307692</v>
      </c>
      <c r="K10" s="35">
        <v>349</v>
      </c>
    </row>
    <row r="11" spans="1:11" x14ac:dyDescent="0.25">
      <c r="A11" s="34" t="s">
        <v>427</v>
      </c>
      <c r="B11" s="24" t="s">
        <v>26</v>
      </c>
      <c r="C11" s="25" t="s">
        <v>349</v>
      </c>
      <c r="D11" s="24" t="s">
        <v>51</v>
      </c>
      <c r="E11" s="24" t="s">
        <v>52</v>
      </c>
      <c r="F11" s="24">
        <v>257</v>
      </c>
      <c r="G11" s="24">
        <v>966</v>
      </c>
      <c r="H11" s="24">
        <v>398</v>
      </c>
      <c r="I11" s="26">
        <v>3341</v>
      </c>
      <c r="J11" s="27">
        <f t="shared" si="0"/>
        <v>0.48518407662376534</v>
      </c>
      <c r="K11" s="35">
        <v>2753</v>
      </c>
    </row>
    <row r="12" spans="1:11" ht="15.75" thickBot="1" x14ac:dyDescent="0.3">
      <c r="A12" s="36" t="s">
        <v>191</v>
      </c>
      <c r="B12" s="37" t="s">
        <v>42</v>
      </c>
      <c r="C12" s="38" t="s">
        <v>192</v>
      </c>
      <c r="D12" s="37" t="s">
        <v>73</v>
      </c>
      <c r="E12" s="37" t="s">
        <v>74</v>
      </c>
      <c r="F12" s="37">
        <v>199</v>
      </c>
      <c r="G12" s="37">
        <v>772</v>
      </c>
      <c r="H12" s="37">
        <v>400</v>
      </c>
      <c r="I12" s="39">
        <v>3582</v>
      </c>
      <c r="J12" s="40">
        <f t="shared" si="0"/>
        <v>0.38274706867671693</v>
      </c>
      <c r="K12" s="41">
        <v>2988</v>
      </c>
    </row>
  </sheetData>
  <conditionalFormatting sqref="J2:J12">
    <cfRule type="dataBar" priority="1">
      <dataBar>
        <cfvo type="min"/>
        <cfvo type="max"/>
        <color rgb="FFFFB628"/>
      </dataBar>
      <extLst>
        <ext xmlns:x14="http://schemas.microsoft.com/office/spreadsheetml/2009/9/main" uri="{B025F937-C7B1-47D3-B67F-A62EFF666E3E}">
          <x14:id>{FEBE696F-CD0B-4479-BA2C-353CD495F4F1}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EBE696F-CD0B-4479-BA2C-353CD495F4F1}">
            <x14:dataBar minLength="0" maxLength="100" border="1" negativeBarBorderColorSameAsPositive="0">
              <x14:cfvo type="autoMin"/>
              <x14:cfvo type="autoMax"/>
              <x14:borderColor rgb="FFFFB628"/>
              <x14:negativeFillColor rgb="FFFF0000"/>
              <x14:negativeBorderColor rgb="FFFF0000"/>
              <x14:axisColor rgb="FF000000"/>
            </x14:dataBar>
          </x14:cfRule>
          <xm:sqref>J2:J12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5311-762C-4C0C-B2EE-CE6F5A213BE1}">
  <dimension ref="A2:H36"/>
  <sheetViews>
    <sheetView workbookViewId="0">
      <selection activeCell="B10" sqref="B10"/>
    </sheetView>
  </sheetViews>
  <sheetFormatPr defaultRowHeight="15" x14ac:dyDescent="0.25"/>
  <cols>
    <col min="1" max="1" width="13.42578125" bestFit="1" customWidth="1"/>
    <col min="2" max="2" width="12" bestFit="1" customWidth="1"/>
    <col min="3" max="3" width="13.5703125" bestFit="1" customWidth="1"/>
    <col min="4" max="4" width="17.42578125" bestFit="1" customWidth="1"/>
    <col min="6" max="6" width="27.140625" customWidth="1"/>
    <col min="7" max="7" width="26.28515625" customWidth="1"/>
    <col min="8" max="8" width="13.140625" bestFit="1" customWidth="1"/>
    <col min="9" max="9" width="18" bestFit="1" customWidth="1"/>
    <col min="10" max="10" width="26" customWidth="1"/>
    <col min="11" max="11" width="15.5703125" bestFit="1" customWidth="1"/>
    <col min="12" max="12" width="16.140625" bestFit="1" customWidth="1"/>
    <col min="16" max="16" width="22.28515625" customWidth="1"/>
    <col min="17" max="17" width="29.5703125" customWidth="1"/>
  </cols>
  <sheetData>
    <row r="2" spans="1:8" x14ac:dyDescent="0.25">
      <c r="A2" s="88" t="s">
        <v>619</v>
      </c>
      <c r="B2" s="89"/>
      <c r="C2" s="89"/>
      <c r="D2" s="90"/>
      <c r="H2" s="15"/>
    </row>
    <row r="3" spans="1:8" x14ac:dyDescent="0.25">
      <c r="A3" s="14" t="s">
        <v>613</v>
      </c>
      <c r="B3" s="15" t="s">
        <v>616</v>
      </c>
      <c r="C3" s="15" t="s">
        <v>617</v>
      </c>
      <c r="D3" s="16" t="s">
        <v>618</v>
      </c>
    </row>
    <row r="4" spans="1:8" x14ac:dyDescent="0.25">
      <c r="A4" s="17" t="s">
        <v>44</v>
      </c>
      <c r="B4" s="18">
        <v>161999</v>
      </c>
      <c r="C4" s="18">
        <v>26471</v>
      </c>
      <c r="D4" s="19">
        <v>14508</v>
      </c>
    </row>
    <row r="5" spans="1:8" x14ac:dyDescent="0.25">
      <c r="A5" s="20" t="s">
        <v>42</v>
      </c>
      <c r="B5" s="18">
        <v>44476</v>
      </c>
      <c r="C5" s="18">
        <v>7400</v>
      </c>
      <c r="D5" s="19">
        <v>4589</v>
      </c>
    </row>
    <row r="6" spans="1:8" x14ac:dyDescent="0.25">
      <c r="A6" s="20" t="s">
        <v>32</v>
      </c>
      <c r="B6" s="18">
        <v>43948</v>
      </c>
      <c r="C6" s="18">
        <v>6975</v>
      </c>
      <c r="D6" s="19">
        <v>3890</v>
      </c>
    </row>
    <row r="7" spans="1:8" x14ac:dyDescent="0.25">
      <c r="A7" s="20" t="s">
        <v>13</v>
      </c>
      <c r="B7" s="18">
        <v>48649</v>
      </c>
      <c r="C7" s="18">
        <v>5791</v>
      </c>
      <c r="D7" s="19">
        <v>3607</v>
      </c>
    </row>
    <row r="8" spans="1:8" x14ac:dyDescent="0.25">
      <c r="A8" s="20" t="s">
        <v>26</v>
      </c>
      <c r="B8" s="18">
        <v>24926</v>
      </c>
      <c r="C8" s="18">
        <v>6305</v>
      </c>
      <c r="D8" s="19">
        <v>2422</v>
      </c>
    </row>
    <row r="9" spans="1:8" x14ac:dyDescent="0.25">
      <c r="A9" s="17" t="s">
        <v>51</v>
      </c>
      <c r="B9" s="18">
        <v>173468</v>
      </c>
      <c r="C9" s="18">
        <v>29610</v>
      </c>
      <c r="D9" s="19">
        <v>16352</v>
      </c>
    </row>
    <row r="10" spans="1:8" x14ac:dyDescent="0.25">
      <c r="A10" s="20" t="s">
        <v>42</v>
      </c>
      <c r="B10" s="18">
        <v>71602</v>
      </c>
      <c r="C10" s="18">
        <v>12904</v>
      </c>
      <c r="D10" s="19">
        <v>6495</v>
      </c>
    </row>
    <row r="11" spans="1:8" x14ac:dyDescent="0.25">
      <c r="A11" s="20" t="s">
        <v>32</v>
      </c>
      <c r="B11" s="18">
        <v>34202</v>
      </c>
      <c r="C11" s="18">
        <v>5286</v>
      </c>
      <c r="D11" s="19">
        <v>2655</v>
      </c>
    </row>
    <row r="12" spans="1:8" x14ac:dyDescent="0.25">
      <c r="A12" s="20" t="s">
        <v>13</v>
      </c>
      <c r="B12" s="18">
        <v>43761</v>
      </c>
      <c r="C12" s="18">
        <v>7110</v>
      </c>
      <c r="D12" s="19">
        <v>5125</v>
      </c>
    </row>
    <row r="13" spans="1:8" x14ac:dyDescent="0.25">
      <c r="A13" s="20" t="s">
        <v>26</v>
      </c>
      <c r="B13" s="18">
        <v>23903</v>
      </c>
      <c r="C13" s="18">
        <v>4310</v>
      </c>
      <c r="D13" s="19">
        <v>2077</v>
      </c>
    </row>
    <row r="14" spans="1:8" x14ac:dyDescent="0.25">
      <c r="A14" s="17" t="s">
        <v>15</v>
      </c>
      <c r="B14" s="18">
        <v>127945</v>
      </c>
      <c r="C14" s="18">
        <v>23201</v>
      </c>
      <c r="D14" s="19">
        <v>11320</v>
      </c>
      <c r="H14" s="15"/>
    </row>
    <row r="15" spans="1:8" x14ac:dyDescent="0.25">
      <c r="A15" s="20" t="s">
        <v>42</v>
      </c>
      <c r="B15" s="18">
        <v>36368</v>
      </c>
      <c r="C15" s="18">
        <v>5964</v>
      </c>
      <c r="D15" s="19">
        <v>3353</v>
      </c>
      <c r="H15" s="15"/>
    </row>
    <row r="16" spans="1:8" x14ac:dyDescent="0.25">
      <c r="A16" s="20" t="s">
        <v>32</v>
      </c>
      <c r="B16" s="18">
        <v>32148</v>
      </c>
      <c r="C16" s="18">
        <v>8110</v>
      </c>
      <c r="D16" s="19">
        <v>3386</v>
      </c>
      <c r="H16" s="15"/>
    </row>
    <row r="17" spans="1:8" x14ac:dyDescent="0.25">
      <c r="A17" s="20" t="s">
        <v>13</v>
      </c>
      <c r="B17" s="18">
        <v>27029</v>
      </c>
      <c r="C17" s="18">
        <v>4550</v>
      </c>
      <c r="D17" s="19">
        <v>1913</v>
      </c>
      <c r="H17" s="15"/>
    </row>
    <row r="18" spans="1:8" x14ac:dyDescent="0.25">
      <c r="A18" s="20" t="s">
        <v>26</v>
      </c>
      <c r="B18" s="18">
        <v>32400</v>
      </c>
      <c r="C18" s="18">
        <v>4577</v>
      </c>
      <c r="D18" s="19">
        <v>2668</v>
      </c>
      <c r="H18" s="15"/>
    </row>
    <row r="19" spans="1:8" x14ac:dyDescent="0.25">
      <c r="A19" s="17" t="s">
        <v>34</v>
      </c>
      <c r="B19" s="18">
        <v>124488</v>
      </c>
      <c r="C19" s="18">
        <v>23955</v>
      </c>
      <c r="D19" s="19">
        <v>12107</v>
      </c>
      <c r="H19" s="15"/>
    </row>
    <row r="20" spans="1:8" x14ac:dyDescent="0.25">
      <c r="A20" s="20" t="s">
        <v>42</v>
      </c>
      <c r="B20" s="18">
        <v>29405</v>
      </c>
      <c r="C20" s="18">
        <v>4950</v>
      </c>
      <c r="D20" s="19">
        <v>3223</v>
      </c>
      <c r="H20" s="15"/>
    </row>
    <row r="21" spans="1:8" x14ac:dyDescent="0.25">
      <c r="A21" s="20" t="s">
        <v>32</v>
      </c>
      <c r="B21" s="18">
        <v>42649</v>
      </c>
      <c r="C21" s="18">
        <v>10049</v>
      </c>
      <c r="D21" s="19">
        <v>3846</v>
      </c>
      <c r="H21" s="15"/>
    </row>
    <row r="22" spans="1:8" x14ac:dyDescent="0.25">
      <c r="A22" s="20" t="s">
        <v>13</v>
      </c>
      <c r="B22" s="18">
        <v>20466</v>
      </c>
      <c r="C22" s="18">
        <v>5090</v>
      </c>
      <c r="D22" s="19">
        <v>3026</v>
      </c>
    </row>
    <row r="23" spans="1:8" x14ac:dyDescent="0.25">
      <c r="A23" s="20" t="s">
        <v>26</v>
      </c>
      <c r="B23" s="18">
        <v>31968</v>
      </c>
      <c r="C23" s="18">
        <v>3866</v>
      </c>
      <c r="D23" s="19">
        <v>2012</v>
      </c>
    </row>
    <row r="24" spans="1:8" x14ac:dyDescent="0.25">
      <c r="A24" s="17" t="s">
        <v>21</v>
      </c>
      <c r="B24" s="18">
        <v>116496</v>
      </c>
      <c r="C24" s="18">
        <v>18693</v>
      </c>
      <c r="D24" s="19">
        <v>10285</v>
      </c>
    </row>
    <row r="25" spans="1:8" x14ac:dyDescent="0.25">
      <c r="A25" s="20" t="s">
        <v>42</v>
      </c>
      <c r="B25" s="18">
        <v>31963</v>
      </c>
      <c r="C25" s="18">
        <v>4792</v>
      </c>
      <c r="D25" s="19">
        <v>3377</v>
      </c>
    </row>
    <row r="26" spans="1:8" x14ac:dyDescent="0.25">
      <c r="A26" s="20" t="s">
        <v>32</v>
      </c>
      <c r="B26" s="18">
        <v>25567</v>
      </c>
      <c r="C26" s="18">
        <v>5112</v>
      </c>
      <c r="D26" s="19">
        <v>1946</v>
      </c>
    </row>
    <row r="27" spans="1:8" x14ac:dyDescent="0.25">
      <c r="A27" s="20" t="s">
        <v>13</v>
      </c>
      <c r="B27" s="18">
        <v>31899</v>
      </c>
      <c r="C27" s="18">
        <v>4861</v>
      </c>
      <c r="D27" s="19">
        <v>3910</v>
      </c>
    </row>
    <row r="28" spans="1:8" x14ac:dyDescent="0.25">
      <c r="A28" s="20" t="s">
        <v>26</v>
      </c>
      <c r="B28" s="18">
        <v>27067</v>
      </c>
      <c r="C28" s="18">
        <v>3928</v>
      </c>
      <c r="D28" s="19">
        <v>1052</v>
      </c>
    </row>
    <row r="29" spans="1:8" x14ac:dyDescent="0.25">
      <c r="A29" s="17" t="s">
        <v>73</v>
      </c>
      <c r="B29" s="18">
        <v>115595</v>
      </c>
      <c r="C29" s="18">
        <v>20995</v>
      </c>
      <c r="D29" s="19">
        <v>10279</v>
      </c>
    </row>
    <row r="30" spans="1:8" x14ac:dyDescent="0.25">
      <c r="A30" s="20" t="s">
        <v>42</v>
      </c>
      <c r="B30" s="18">
        <v>28947</v>
      </c>
      <c r="C30" s="18">
        <v>3171</v>
      </c>
      <c r="D30" s="19">
        <v>2263</v>
      </c>
    </row>
    <row r="31" spans="1:8" x14ac:dyDescent="0.25">
      <c r="A31" s="20" t="s">
        <v>32</v>
      </c>
      <c r="B31" s="18">
        <v>25770</v>
      </c>
      <c r="C31" s="18">
        <v>5912</v>
      </c>
      <c r="D31" s="19">
        <v>2128</v>
      </c>
    </row>
    <row r="32" spans="1:8" x14ac:dyDescent="0.25">
      <c r="A32" s="20" t="s">
        <v>13</v>
      </c>
      <c r="B32" s="18">
        <v>29593</v>
      </c>
      <c r="C32" s="18">
        <v>6326</v>
      </c>
      <c r="D32" s="19">
        <v>3299</v>
      </c>
    </row>
    <row r="33" spans="1:4" x14ac:dyDescent="0.25">
      <c r="A33" s="20" t="s">
        <v>26</v>
      </c>
      <c r="B33" s="18">
        <v>31285</v>
      </c>
      <c r="C33" s="18">
        <v>5586</v>
      </c>
      <c r="D33" s="19">
        <v>2589</v>
      </c>
    </row>
    <row r="34" spans="1:4" x14ac:dyDescent="0.25">
      <c r="A34" s="17" t="s">
        <v>614</v>
      </c>
      <c r="B34" s="18"/>
      <c r="C34" s="18"/>
      <c r="D34" s="19"/>
    </row>
    <row r="35" spans="1:4" x14ac:dyDescent="0.25">
      <c r="A35" s="20" t="s">
        <v>614</v>
      </c>
      <c r="B35" s="18"/>
      <c r="C35" s="18"/>
      <c r="D35" s="19"/>
    </row>
    <row r="36" spans="1:4" x14ac:dyDescent="0.25">
      <c r="A36" s="21" t="s">
        <v>615</v>
      </c>
      <c r="B36" s="22">
        <v>819991</v>
      </c>
      <c r="C36" s="22">
        <v>142925</v>
      </c>
      <c r="D36" s="23">
        <v>74851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D98F-4912-47BE-8D71-66B927FD6D18}">
  <dimension ref="B3:C13"/>
  <sheetViews>
    <sheetView workbookViewId="0">
      <selection activeCell="B18" sqref="B18"/>
    </sheetView>
  </sheetViews>
  <sheetFormatPr defaultRowHeight="15" x14ac:dyDescent="0.25"/>
  <cols>
    <col min="2" max="2" width="22" bestFit="1" customWidth="1"/>
    <col min="3" max="3" width="16.140625" bestFit="1" customWidth="1"/>
  </cols>
  <sheetData>
    <row r="3" spans="2:3" x14ac:dyDescent="0.25">
      <c r="B3" s="88" t="s">
        <v>620</v>
      </c>
      <c r="C3" s="90"/>
    </row>
    <row r="4" spans="2:3" x14ac:dyDescent="0.25">
      <c r="B4" s="122" t="s">
        <v>613</v>
      </c>
      <c r="C4" s="127" t="s">
        <v>622</v>
      </c>
    </row>
    <row r="5" spans="2:3" x14ac:dyDescent="0.25">
      <c r="B5" s="123" t="s">
        <v>608</v>
      </c>
      <c r="C5" s="119">
        <v>150.5</v>
      </c>
    </row>
    <row r="6" spans="2:3" x14ac:dyDescent="0.25">
      <c r="B6" s="124" t="s">
        <v>609</v>
      </c>
      <c r="C6" s="120">
        <v>170.5</v>
      </c>
    </row>
    <row r="7" spans="2:3" x14ac:dyDescent="0.25">
      <c r="B7" s="124" t="s">
        <v>36</v>
      </c>
      <c r="C7" s="120">
        <v>163.30681818181819</v>
      </c>
    </row>
    <row r="8" spans="2:3" x14ac:dyDescent="0.25">
      <c r="B8" s="124" t="s">
        <v>61</v>
      </c>
      <c r="C8" s="120">
        <v>150.34736842105264</v>
      </c>
    </row>
    <row r="9" spans="2:3" x14ac:dyDescent="0.25">
      <c r="B9" s="124" t="s">
        <v>603</v>
      </c>
      <c r="C9" s="120">
        <v>101.75</v>
      </c>
    </row>
    <row r="10" spans="2:3" x14ac:dyDescent="0.25">
      <c r="B10" s="124" t="s">
        <v>29</v>
      </c>
      <c r="C10" s="120">
        <v>141.85263157894738</v>
      </c>
    </row>
    <row r="11" spans="2:3" x14ac:dyDescent="0.25">
      <c r="B11" s="124" t="s">
        <v>610</v>
      </c>
      <c r="C11" s="120"/>
    </row>
    <row r="12" spans="2:3" x14ac:dyDescent="0.25">
      <c r="B12" s="125" t="s">
        <v>614</v>
      </c>
      <c r="C12" s="120"/>
    </row>
    <row r="13" spans="2:3" x14ac:dyDescent="0.25">
      <c r="B13" s="126" t="s">
        <v>615</v>
      </c>
      <c r="C13" s="121">
        <v>151.22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154D-3440-49BA-BD19-374613EED36C}">
  <dimension ref="A1:B12"/>
  <sheetViews>
    <sheetView workbookViewId="0">
      <selection activeCell="D17" sqref="D17"/>
    </sheetView>
  </sheetViews>
  <sheetFormatPr defaultRowHeight="15" x14ac:dyDescent="0.25"/>
  <cols>
    <col min="1" max="1" width="16.7109375" customWidth="1"/>
    <col min="2" max="2" width="26.7109375" customWidth="1"/>
  </cols>
  <sheetData>
    <row r="1" spans="1:2" ht="15.75" thickBot="1" x14ac:dyDescent="0.3"/>
    <row r="2" spans="1:2" x14ac:dyDescent="0.25">
      <c r="A2" s="91" t="s">
        <v>631</v>
      </c>
      <c r="B2" s="141"/>
    </row>
    <row r="3" spans="1:2" x14ac:dyDescent="0.25">
      <c r="A3" s="54" t="s">
        <v>613</v>
      </c>
      <c r="B3" s="53" t="s">
        <v>623</v>
      </c>
    </row>
    <row r="4" spans="1:2" x14ac:dyDescent="0.25">
      <c r="A4" s="86" t="s">
        <v>609</v>
      </c>
      <c r="B4" s="87">
        <v>0.20374468962983674</v>
      </c>
    </row>
    <row r="5" spans="1:2" x14ac:dyDescent="0.25">
      <c r="A5" s="86" t="s">
        <v>608</v>
      </c>
      <c r="B5" s="87">
        <v>0.18436005456105606</v>
      </c>
    </row>
    <row r="6" spans="1:2" x14ac:dyDescent="0.25">
      <c r="A6" s="86" t="s">
        <v>29</v>
      </c>
      <c r="B6" s="87">
        <v>0.15525398354503409</v>
      </c>
    </row>
    <row r="7" spans="1:2" x14ac:dyDescent="0.25">
      <c r="A7" s="55" t="s">
        <v>61</v>
      </c>
      <c r="B7" s="84">
        <v>0.15200123478565847</v>
      </c>
    </row>
    <row r="8" spans="1:2" x14ac:dyDescent="0.25">
      <c r="A8" s="55" t="s">
        <v>36</v>
      </c>
      <c r="B8" s="84">
        <v>0.13091298465874898</v>
      </c>
    </row>
    <row r="9" spans="1:2" x14ac:dyDescent="0.25">
      <c r="A9" s="55" t="s">
        <v>603</v>
      </c>
      <c r="B9" s="84">
        <v>8.5110063915288664E-2</v>
      </c>
    </row>
    <row r="10" spans="1:2" x14ac:dyDescent="0.25">
      <c r="A10" s="55" t="s">
        <v>614</v>
      </c>
      <c r="B10" s="84"/>
    </row>
    <row r="11" spans="1:2" x14ac:dyDescent="0.25">
      <c r="A11" s="55" t="s">
        <v>610</v>
      </c>
      <c r="B11" s="84"/>
    </row>
    <row r="12" spans="1:2" ht="15.75" thickBot="1" x14ac:dyDescent="0.3">
      <c r="A12" s="60" t="s">
        <v>615</v>
      </c>
      <c r="B12" s="85">
        <v>0.14828272479852864</v>
      </c>
    </row>
  </sheetData>
  <conditionalFormatting sqref="B3">
    <cfRule type="top10" dxfId="112" priority="1" rank="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76C6-3CB7-49CF-862A-B0021A338B9F}">
  <dimension ref="A1:E21"/>
  <sheetViews>
    <sheetView workbookViewId="0">
      <selection activeCell="E13" sqref="E13"/>
    </sheetView>
  </sheetViews>
  <sheetFormatPr defaultRowHeight="15" x14ac:dyDescent="0.25"/>
  <cols>
    <col min="1" max="1" width="13.140625" bestFit="1" customWidth="1"/>
    <col min="2" max="2" width="32.42578125" customWidth="1"/>
    <col min="4" max="4" width="13.140625" bestFit="1" customWidth="1"/>
    <col min="5" max="5" width="27.5703125" bestFit="1" customWidth="1"/>
    <col min="6" max="6" width="20.28515625" bestFit="1" customWidth="1"/>
    <col min="7" max="7" width="16.7109375" customWidth="1"/>
  </cols>
  <sheetData>
    <row r="1" spans="1:2" ht="15.75" thickBot="1" x14ac:dyDescent="0.3"/>
    <row r="2" spans="1:2" ht="15.75" thickBot="1" x14ac:dyDescent="0.3">
      <c r="A2" s="92" t="s">
        <v>648</v>
      </c>
      <c r="B2" s="93"/>
    </row>
    <row r="3" spans="1:2" ht="15.75" thickBot="1" x14ac:dyDescent="0.3">
      <c r="A3" s="68" t="s">
        <v>613</v>
      </c>
      <c r="B3" s="131" t="s">
        <v>671</v>
      </c>
    </row>
    <row r="4" spans="1:2" x14ac:dyDescent="0.25">
      <c r="A4" s="138" t="s">
        <v>42</v>
      </c>
      <c r="B4" s="142">
        <v>3677.6144578313251</v>
      </c>
    </row>
    <row r="5" spans="1:2" x14ac:dyDescent="0.25">
      <c r="A5" s="70" t="s">
        <v>26</v>
      </c>
      <c r="B5" s="136">
        <v>3609.1694915254238</v>
      </c>
    </row>
    <row r="6" spans="1:2" x14ac:dyDescent="0.25">
      <c r="A6" s="70" t="s">
        <v>32</v>
      </c>
      <c r="B6" s="136">
        <v>3336.4430379746836</v>
      </c>
    </row>
    <row r="7" spans="1:2" x14ac:dyDescent="0.25">
      <c r="A7" s="70" t="s">
        <v>13</v>
      </c>
      <c r="B7" s="136">
        <v>3240.5696202531644</v>
      </c>
    </row>
    <row r="8" spans="1:2" ht="15.75" thickBot="1" x14ac:dyDescent="0.3">
      <c r="A8" s="71" t="s">
        <v>614</v>
      </c>
      <c r="B8" s="136"/>
    </row>
    <row r="9" spans="1:2" ht="15.75" thickBot="1" x14ac:dyDescent="0.3">
      <c r="A9" s="72" t="s">
        <v>615</v>
      </c>
      <c r="B9" s="137">
        <v>3459.2233333333334</v>
      </c>
    </row>
    <row r="21" spans="1:5" x14ac:dyDescent="0.25">
      <c r="A21" s="107"/>
      <c r="B21" s="108"/>
      <c r="C21" s="108"/>
      <c r="D21" s="108"/>
      <c r="E21" s="108"/>
    </row>
  </sheetData>
  <conditionalFormatting sqref="A4:B9">
    <cfRule type="dataBar" priority="1">
      <dataBar>
        <cfvo type="min"/>
        <cfvo type="max"/>
        <color rgb="FFFF555A"/>
      </dataBar>
      <extLst>
        <ext xmlns:x14="http://schemas.microsoft.com/office/spreadsheetml/2009/9/main" uri="{B025F937-C7B1-47D3-B67F-A62EFF666E3E}">
          <x14:id>{96CBDFB4-A414-47BA-B95E-7725B2EC9A26}</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96CBDFB4-A414-47BA-B95E-7725B2EC9A26}">
            <x14:dataBar minLength="0" maxLength="100" border="1" negativeBarBorderColorSameAsPositive="0">
              <x14:cfvo type="autoMin"/>
              <x14:cfvo type="autoMax"/>
              <x14:borderColor rgb="FFFF555A"/>
              <x14:negativeFillColor rgb="FFFF0000"/>
              <x14:negativeBorderColor rgb="FFFF0000"/>
              <x14:axisColor rgb="FF000000"/>
            </x14:dataBar>
          </x14:cfRule>
          <xm:sqref>A4:B9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8A98-309B-45F9-A274-01994A7A68E8}">
  <dimension ref="A2:B10"/>
  <sheetViews>
    <sheetView workbookViewId="0">
      <selection activeCell="B17" sqref="B17"/>
    </sheetView>
  </sheetViews>
  <sheetFormatPr defaultRowHeight="15" x14ac:dyDescent="0.25"/>
  <cols>
    <col min="1" max="1" width="13.140625" bestFit="1" customWidth="1"/>
    <col min="2" max="2" width="22.5703125" bestFit="1" customWidth="1"/>
  </cols>
  <sheetData>
    <row r="2" spans="1:2" ht="15.75" thickBot="1" x14ac:dyDescent="0.3"/>
    <row r="3" spans="1:2" ht="15.75" thickBot="1" x14ac:dyDescent="0.3">
      <c r="A3" s="92" t="s">
        <v>634</v>
      </c>
      <c r="B3" s="93"/>
    </row>
    <row r="4" spans="1:2" ht="15.75" thickBot="1" x14ac:dyDescent="0.3">
      <c r="A4" s="68" t="s">
        <v>613</v>
      </c>
      <c r="B4" s="135" t="s">
        <v>633</v>
      </c>
    </row>
    <row r="5" spans="1:2" x14ac:dyDescent="0.25">
      <c r="A5" s="69" t="s">
        <v>42</v>
      </c>
      <c r="B5" s="132">
        <v>5.4649906832972654E-3</v>
      </c>
    </row>
    <row r="6" spans="1:2" x14ac:dyDescent="0.25">
      <c r="A6" s="70" t="s">
        <v>32</v>
      </c>
      <c r="B6" s="133">
        <v>5.7625321264951823E-3</v>
      </c>
    </row>
    <row r="7" spans="1:2" x14ac:dyDescent="0.25">
      <c r="A7" s="70" t="s">
        <v>13</v>
      </c>
      <c r="B7" s="133">
        <v>9.2800256766213396E-3</v>
      </c>
    </row>
    <row r="8" spans="1:2" x14ac:dyDescent="0.25">
      <c r="A8" s="70" t="s">
        <v>26</v>
      </c>
      <c r="B8" s="133">
        <v>9.021066631336009E-3</v>
      </c>
    </row>
    <row r="9" spans="1:2" ht="15.75" thickBot="1" x14ac:dyDescent="0.3">
      <c r="A9" s="71" t="s">
        <v>614</v>
      </c>
      <c r="B9" s="133"/>
    </row>
    <row r="10" spans="1:2" ht="15.75" thickBot="1" x14ac:dyDescent="0.3">
      <c r="A10" s="72" t="s">
        <v>615</v>
      </c>
      <c r="B10" s="134">
        <v>7.3821537794374484E-3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90F1-FA3E-43A8-A3BE-419022E9CCBA}">
  <dimension ref="A2:C10"/>
  <sheetViews>
    <sheetView workbookViewId="0">
      <selection activeCell="B19" sqref="B19"/>
    </sheetView>
  </sheetViews>
  <sheetFormatPr defaultRowHeight="15" x14ac:dyDescent="0.25"/>
  <cols>
    <col min="1" max="1" width="13.140625" bestFit="1" customWidth="1"/>
    <col min="2" max="2" width="24" bestFit="1" customWidth="1"/>
    <col min="3" max="3" width="20.28515625" bestFit="1" customWidth="1"/>
  </cols>
  <sheetData>
    <row r="2" spans="1:3" ht="15.75" thickBot="1" x14ac:dyDescent="0.3"/>
    <row r="3" spans="1:3" ht="15.75" thickBot="1" x14ac:dyDescent="0.3">
      <c r="A3" s="92" t="s">
        <v>649</v>
      </c>
      <c r="B3" s="94"/>
      <c r="C3" s="93"/>
    </row>
    <row r="4" spans="1:3" ht="15.75" thickBot="1" x14ac:dyDescent="0.3">
      <c r="A4" s="68" t="s">
        <v>613</v>
      </c>
      <c r="B4" s="73" t="s">
        <v>670</v>
      </c>
      <c r="C4" s="75" t="s">
        <v>650</v>
      </c>
    </row>
    <row r="5" spans="1:3" x14ac:dyDescent="0.25">
      <c r="A5" s="69" t="s">
        <v>42</v>
      </c>
      <c r="B5" s="128">
        <v>282.43</v>
      </c>
      <c r="C5" s="65">
        <v>27590.78</v>
      </c>
    </row>
    <row r="6" spans="1:3" x14ac:dyDescent="0.25">
      <c r="A6" s="70" t="s">
        <v>32</v>
      </c>
      <c r="B6" s="129">
        <v>285.78000000000003</v>
      </c>
      <c r="C6" s="59">
        <v>23287.46</v>
      </c>
    </row>
    <row r="7" spans="1:3" x14ac:dyDescent="0.25">
      <c r="A7" s="70" t="s">
        <v>13</v>
      </c>
      <c r="B7" s="129">
        <v>282.79000000000002</v>
      </c>
      <c r="C7" s="59">
        <v>21207.14</v>
      </c>
    </row>
    <row r="8" spans="1:3" x14ac:dyDescent="0.25">
      <c r="A8" s="70" t="s">
        <v>26</v>
      </c>
      <c r="B8" s="129">
        <v>277.94</v>
      </c>
      <c r="C8" s="59">
        <v>24572.94</v>
      </c>
    </row>
    <row r="9" spans="1:3" ht="15.75" thickBot="1" x14ac:dyDescent="0.3">
      <c r="A9" s="71" t="s">
        <v>614</v>
      </c>
      <c r="B9" s="129"/>
      <c r="C9" s="59"/>
    </row>
    <row r="10" spans="1:3" ht="15.75" thickBot="1" x14ac:dyDescent="0.3">
      <c r="A10" s="72" t="s">
        <v>615</v>
      </c>
      <c r="B10" s="130">
        <v>1128.9399999999998</v>
      </c>
      <c r="C10" s="62">
        <v>24164.58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BB09-AA2E-4B48-89C3-E4CD26EB5F4E}">
  <dimension ref="C2:W12"/>
  <sheetViews>
    <sheetView workbookViewId="0">
      <selection activeCell="H19" sqref="H19"/>
    </sheetView>
  </sheetViews>
  <sheetFormatPr defaultRowHeight="15" x14ac:dyDescent="0.25"/>
  <sheetData>
    <row r="2" spans="3:23" x14ac:dyDescent="0.25">
      <c r="C2" s="112" t="s">
        <v>672</v>
      </c>
      <c r="D2" s="112"/>
      <c r="E2" s="112"/>
      <c r="F2" s="112"/>
      <c r="G2" s="112"/>
      <c r="H2" s="112"/>
      <c r="I2" s="112"/>
      <c r="J2" s="112"/>
      <c r="K2" s="112"/>
      <c r="L2" s="112"/>
      <c r="M2" s="112"/>
      <c r="N2" s="112"/>
    </row>
    <row r="4" spans="3:23" x14ac:dyDescent="0.25">
      <c r="C4" s="140" t="s">
        <v>686</v>
      </c>
      <c r="D4" s="140"/>
      <c r="E4" s="140"/>
      <c r="F4" s="140"/>
      <c r="G4" s="140"/>
      <c r="H4" s="140"/>
      <c r="I4" s="140"/>
      <c r="J4" s="140"/>
      <c r="K4" s="140"/>
      <c r="L4" s="140"/>
      <c r="M4" s="140"/>
      <c r="N4" s="140"/>
      <c r="O4" s="140"/>
      <c r="P4" s="140"/>
      <c r="Q4" s="140"/>
      <c r="R4" s="140"/>
      <c r="S4" s="140"/>
      <c r="T4" s="140"/>
      <c r="U4" s="140"/>
      <c r="V4" s="140"/>
      <c r="W4" s="140"/>
    </row>
    <row r="5" spans="3:23" x14ac:dyDescent="0.25">
      <c r="C5" s="140" t="s">
        <v>689</v>
      </c>
      <c r="D5" s="140"/>
      <c r="E5" s="140"/>
      <c r="F5" s="140"/>
      <c r="G5" s="140"/>
      <c r="H5" s="140"/>
      <c r="I5" s="140"/>
      <c r="J5" s="140"/>
      <c r="K5" s="140"/>
      <c r="L5" s="140"/>
      <c r="M5" s="140"/>
      <c r="N5" s="140"/>
      <c r="O5" s="140"/>
      <c r="P5" s="140"/>
      <c r="Q5" s="140"/>
      <c r="R5" s="140"/>
      <c r="S5" s="140"/>
      <c r="T5" s="140"/>
      <c r="U5" s="140"/>
      <c r="V5" s="140"/>
      <c r="W5" s="140"/>
    </row>
    <row r="6" spans="3:23" x14ac:dyDescent="0.25">
      <c r="C6" s="140" t="s">
        <v>687</v>
      </c>
      <c r="D6" s="140"/>
      <c r="E6" s="140"/>
      <c r="F6" s="140"/>
      <c r="G6" s="140"/>
      <c r="H6" s="140"/>
      <c r="I6" s="140"/>
      <c r="J6" s="140"/>
      <c r="K6" s="140"/>
      <c r="L6" s="140"/>
      <c r="M6" s="140"/>
      <c r="N6" s="140"/>
      <c r="O6" s="140"/>
      <c r="P6" s="140"/>
      <c r="Q6" s="140"/>
      <c r="R6" s="140"/>
      <c r="S6" s="140"/>
      <c r="T6" s="140"/>
      <c r="U6" s="140"/>
      <c r="V6" s="140"/>
      <c r="W6" s="140"/>
    </row>
    <row r="7" spans="3:23" x14ac:dyDescent="0.25">
      <c r="C7" s="140" t="s">
        <v>688</v>
      </c>
      <c r="D7" s="140"/>
      <c r="E7" s="140"/>
      <c r="F7" s="140"/>
      <c r="G7" s="140"/>
      <c r="H7" s="140"/>
      <c r="I7" s="140"/>
      <c r="J7" s="140"/>
      <c r="K7" s="140"/>
      <c r="L7" s="140"/>
      <c r="M7" s="140"/>
      <c r="N7" s="140"/>
      <c r="O7" s="140"/>
      <c r="P7" s="140"/>
      <c r="Q7" s="140"/>
      <c r="R7" s="140"/>
      <c r="S7" s="140"/>
      <c r="T7" s="140"/>
      <c r="U7" s="140"/>
      <c r="V7" s="140"/>
      <c r="W7" s="140"/>
    </row>
    <row r="8" spans="3:23" x14ac:dyDescent="0.25">
      <c r="C8" s="140" t="s">
        <v>690</v>
      </c>
      <c r="D8" s="140"/>
      <c r="E8" s="140"/>
      <c r="F8" s="140"/>
      <c r="G8" s="140"/>
      <c r="H8" s="140"/>
      <c r="I8" s="140"/>
      <c r="J8" s="140"/>
      <c r="K8" s="140"/>
      <c r="L8" s="140"/>
      <c r="M8" s="140"/>
      <c r="N8" s="140"/>
      <c r="O8" s="140"/>
      <c r="P8" s="140"/>
      <c r="Q8" s="140"/>
      <c r="R8" s="140"/>
      <c r="S8" s="140"/>
      <c r="T8" s="140"/>
      <c r="U8" s="140"/>
      <c r="V8" s="140"/>
      <c r="W8" s="140"/>
    </row>
    <row r="9" spans="3:23" x14ac:dyDescent="0.25">
      <c r="C9" s="140" t="s">
        <v>691</v>
      </c>
      <c r="D9" s="140"/>
      <c r="E9" s="140"/>
      <c r="F9" s="140"/>
      <c r="G9" s="140"/>
      <c r="H9" s="140"/>
      <c r="I9" s="140"/>
      <c r="J9" s="140"/>
      <c r="K9" s="140"/>
      <c r="L9" s="140"/>
      <c r="M9" s="140"/>
      <c r="N9" s="140"/>
      <c r="O9" s="140"/>
      <c r="P9" s="140"/>
      <c r="Q9" s="140"/>
      <c r="R9" s="140"/>
      <c r="S9" s="140"/>
      <c r="T9" s="140"/>
      <c r="U9" s="140"/>
      <c r="V9" s="140"/>
      <c r="W9" s="140"/>
    </row>
    <row r="10" spans="3:23" x14ac:dyDescent="0.25">
      <c r="C10" s="140" t="s">
        <v>692</v>
      </c>
      <c r="D10" s="140"/>
      <c r="E10" s="140"/>
      <c r="F10" s="140"/>
      <c r="G10" s="140"/>
      <c r="H10" s="140"/>
      <c r="I10" s="140"/>
      <c r="J10" s="140"/>
      <c r="K10" s="140"/>
      <c r="L10" s="140"/>
      <c r="M10" s="140"/>
      <c r="N10" s="140"/>
      <c r="O10" s="140"/>
      <c r="P10" s="140"/>
      <c r="Q10" s="140"/>
      <c r="R10" s="140"/>
      <c r="S10" s="140"/>
      <c r="T10" s="140"/>
      <c r="U10" s="140"/>
      <c r="V10" s="140"/>
      <c r="W10" s="140"/>
    </row>
    <row r="11" spans="3:23" x14ac:dyDescent="0.25">
      <c r="C11" s="140" t="s">
        <v>693</v>
      </c>
      <c r="D11" s="140"/>
      <c r="E11" s="140"/>
      <c r="F11" s="140"/>
      <c r="G11" s="140"/>
      <c r="H11" s="140"/>
      <c r="I11" s="140"/>
      <c r="J11" s="140"/>
      <c r="K11" s="140"/>
      <c r="L11" s="140"/>
      <c r="M11" s="140"/>
      <c r="N11" s="140"/>
      <c r="O11" s="140"/>
      <c r="P11" s="140"/>
      <c r="Q11" s="140"/>
      <c r="R11" s="140"/>
      <c r="S11" s="140"/>
      <c r="T11" s="140"/>
      <c r="U11" s="140"/>
      <c r="V11" s="140"/>
      <c r="W11" s="140"/>
    </row>
    <row r="12" spans="3:23" x14ac:dyDescent="0.25">
      <c r="C12" s="140" t="s">
        <v>694</v>
      </c>
      <c r="D12" s="140"/>
      <c r="E12" s="140"/>
      <c r="F12" s="140"/>
      <c r="G12" s="140"/>
      <c r="H12" s="140"/>
      <c r="I12" s="140"/>
      <c r="J12" s="140"/>
      <c r="K12" s="140"/>
      <c r="L12" s="140"/>
      <c r="M12" s="140"/>
      <c r="N12" s="140"/>
      <c r="O12" s="140"/>
      <c r="P12" s="140"/>
      <c r="Q12" s="140"/>
      <c r="R12" s="140"/>
      <c r="S12" s="140"/>
      <c r="T12" s="140"/>
      <c r="U12" s="140"/>
      <c r="V12" s="140"/>
      <c r="W12" s="1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F5B2-B759-49FA-A0E6-700A4C7B4435}">
  <dimension ref="A2:B11"/>
  <sheetViews>
    <sheetView workbookViewId="0">
      <selection activeCell="D16" sqref="D16"/>
    </sheetView>
  </sheetViews>
  <sheetFormatPr defaultRowHeight="15" x14ac:dyDescent="0.25"/>
  <cols>
    <col min="1" max="1" width="22.42578125" customWidth="1"/>
    <col min="2" max="2" width="25.85546875" customWidth="1"/>
  </cols>
  <sheetData>
    <row r="2" spans="1:2" x14ac:dyDescent="0.25">
      <c r="A2" s="95" t="s">
        <v>625</v>
      </c>
      <c r="B2" s="96"/>
    </row>
    <row r="3" spans="1:2" x14ac:dyDescent="0.25">
      <c r="A3" s="14" t="s">
        <v>613</v>
      </c>
      <c r="B3" s="16" t="s">
        <v>624</v>
      </c>
    </row>
    <row r="4" spans="1:2" x14ac:dyDescent="0.25">
      <c r="A4" s="97" t="s">
        <v>29</v>
      </c>
      <c r="B4" s="98">
        <v>107</v>
      </c>
    </row>
    <row r="5" spans="1:2" x14ac:dyDescent="0.25">
      <c r="A5" s="97" t="s">
        <v>61</v>
      </c>
      <c r="B5" s="98">
        <v>103</v>
      </c>
    </row>
    <row r="6" spans="1:2" x14ac:dyDescent="0.25">
      <c r="A6" s="97" t="s">
        <v>36</v>
      </c>
      <c r="B6" s="98">
        <v>102</v>
      </c>
    </row>
    <row r="7" spans="1:2" x14ac:dyDescent="0.25">
      <c r="A7" s="17" t="s">
        <v>608</v>
      </c>
      <c r="B7" s="19">
        <v>15</v>
      </c>
    </row>
    <row r="8" spans="1:2" x14ac:dyDescent="0.25">
      <c r="A8" s="17" t="s">
        <v>609</v>
      </c>
      <c r="B8" s="19">
        <v>7</v>
      </c>
    </row>
    <row r="9" spans="1:2" x14ac:dyDescent="0.25">
      <c r="A9" s="17" t="s">
        <v>603</v>
      </c>
      <c r="B9" s="19">
        <v>5</v>
      </c>
    </row>
    <row r="10" spans="1:2" x14ac:dyDescent="0.25">
      <c r="A10" s="17" t="s">
        <v>614</v>
      </c>
      <c r="B10" s="19"/>
    </row>
    <row r="11" spans="1:2" x14ac:dyDescent="0.25">
      <c r="A11" s="21" t="s">
        <v>615</v>
      </c>
      <c r="B11" s="23">
        <v>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8FBCF-D6C0-44B5-A624-930E8DFAAEC2}">
  <dimension ref="A2:B100"/>
  <sheetViews>
    <sheetView workbookViewId="0">
      <selection activeCell="H13" sqref="H13"/>
    </sheetView>
  </sheetViews>
  <sheetFormatPr defaultRowHeight="15" x14ac:dyDescent="0.25"/>
  <cols>
    <col min="1" max="1" width="13.140625" bestFit="1" customWidth="1"/>
    <col min="2" max="2" width="27" bestFit="1" customWidth="1"/>
  </cols>
  <sheetData>
    <row r="2" spans="1:2" x14ac:dyDescent="0.25">
      <c r="A2" s="99" t="s">
        <v>646</v>
      </c>
      <c r="B2" s="100"/>
    </row>
    <row r="3" spans="1:2" x14ac:dyDescent="0.25">
      <c r="A3" s="43" t="s">
        <v>613</v>
      </c>
      <c r="B3" t="s">
        <v>623</v>
      </c>
    </row>
    <row r="4" spans="1:2" x14ac:dyDescent="0.25">
      <c r="A4" s="44" t="s">
        <v>41</v>
      </c>
      <c r="B4" s="48">
        <v>0.17954159592529711</v>
      </c>
    </row>
    <row r="5" spans="1:2" x14ac:dyDescent="0.25">
      <c r="A5" s="44" t="s">
        <v>49</v>
      </c>
      <c r="B5" s="48">
        <v>0.10340359564080613</v>
      </c>
    </row>
    <row r="6" spans="1:2" x14ac:dyDescent="0.25">
      <c r="A6" s="44" t="s">
        <v>53</v>
      </c>
      <c r="B6" s="48">
        <v>8.8019732205778717E-2</v>
      </c>
    </row>
    <row r="7" spans="1:2" x14ac:dyDescent="0.25">
      <c r="A7" s="44" t="s">
        <v>59</v>
      </c>
      <c r="B7" s="48">
        <v>0.11571269132653061</v>
      </c>
    </row>
    <row r="8" spans="1:2" x14ac:dyDescent="0.25">
      <c r="A8" s="44" t="s">
        <v>75</v>
      </c>
      <c r="B8" s="48">
        <v>7.5843713789107758E-2</v>
      </c>
    </row>
    <row r="9" spans="1:2" x14ac:dyDescent="0.25">
      <c r="A9" s="44" t="s">
        <v>90</v>
      </c>
      <c r="B9" s="48">
        <v>8.0294585987261149E-2</v>
      </c>
    </row>
    <row r="10" spans="1:2" x14ac:dyDescent="0.25">
      <c r="A10" s="44" t="s">
        <v>92</v>
      </c>
      <c r="B10" s="48">
        <v>7.6867995018679955E-2</v>
      </c>
    </row>
    <row r="11" spans="1:2" x14ac:dyDescent="0.25">
      <c r="A11" s="44" t="s">
        <v>108</v>
      </c>
      <c r="B11" s="48">
        <v>5.7655717106444085E-2</v>
      </c>
    </row>
    <row r="12" spans="1:2" x14ac:dyDescent="0.25">
      <c r="A12" s="44" t="s">
        <v>110</v>
      </c>
      <c r="B12" s="48">
        <v>0.28245270711024134</v>
      </c>
    </row>
    <row r="13" spans="1:2" x14ac:dyDescent="0.25">
      <c r="A13" s="44" t="s">
        <v>123</v>
      </c>
      <c r="B13" s="48">
        <v>0.17770337301587302</v>
      </c>
    </row>
    <row r="14" spans="1:2" x14ac:dyDescent="0.25">
      <c r="A14" s="44" t="s">
        <v>127</v>
      </c>
      <c r="B14" s="48">
        <v>7.2126493695121141E-2</v>
      </c>
    </row>
    <row r="15" spans="1:2" x14ac:dyDescent="0.25">
      <c r="A15" s="44" t="s">
        <v>134</v>
      </c>
      <c r="B15" s="48">
        <v>0.21840570317563188</v>
      </c>
    </row>
    <row r="16" spans="1:2" x14ac:dyDescent="0.25">
      <c r="A16" s="44" t="s">
        <v>136</v>
      </c>
      <c r="B16" s="48">
        <v>0.21826126954921804</v>
      </c>
    </row>
    <row r="17" spans="1:2" x14ac:dyDescent="0.25">
      <c r="A17" s="44" t="s">
        <v>140</v>
      </c>
      <c r="B17" s="48">
        <v>7.5229902106199939E-2</v>
      </c>
    </row>
    <row r="18" spans="1:2" x14ac:dyDescent="0.25">
      <c r="A18" s="44" t="s">
        <v>149</v>
      </c>
      <c r="B18" s="48">
        <v>0.10617801791554102</v>
      </c>
    </row>
    <row r="19" spans="1:2" x14ac:dyDescent="0.25">
      <c r="A19" s="44" t="s">
        <v>154</v>
      </c>
      <c r="B19" s="48">
        <v>7.8689839572192513E-2</v>
      </c>
    </row>
    <row r="20" spans="1:2" x14ac:dyDescent="0.25">
      <c r="A20" s="44" t="s">
        <v>158</v>
      </c>
      <c r="B20" s="48">
        <v>0.36965174129353234</v>
      </c>
    </row>
    <row r="21" spans="1:2" x14ac:dyDescent="0.25">
      <c r="A21" s="44" t="s">
        <v>160</v>
      </c>
      <c r="B21" s="48">
        <v>0.16510298716704411</v>
      </c>
    </row>
    <row r="22" spans="1:2" x14ac:dyDescent="0.25">
      <c r="A22" s="44" t="s">
        <v>164</v>
      </c>
      <c r="B22" s="48">
        <v>0.12936184657162253</v>
      </c>
    </row>
    <row r="23" spans="1:2" x14ac:dyDescent="0.25">
      <c r="A23" s="44" t="s">
        <v>172</v>
      </c>
      <c r="B23" s="48">
        <v>0.1650782845473111</v>
      </c>
    </row>
    <row r="24" spans="1:2" x14ac:dyDescent="0.25">
      <c r="A24" s="44" t="s">
        <v>179</v>
      </c>
      <c r="B24" s="48">
        <v>5.2551586421122697E-2</v>
      </c>
    </row>
    <row r="25" spans="1:2" x14ac:dyDescent="0.25">
      <c r="A25" s="44" t="s">
        <v>180</v>
      </c>
      <c r="B25" s="48">
        <v>8.2047718322909427E-2</v>
      </c>
    </row>
    <row r="26" spans="1:2" x14ac:dyDescent="0.25">
      <c r="A26" s="44" t="s">
        <v>190</v>
      </c>
      <c r="B26" s="48">
        <v>9.3421052631578946E-2</v>
      </c>
    </row>
    <row r="27" spans="1:2" x14ac:dyDescent="0.25">
      <c r="A27" s="44" t="s">
        <v>191</v>
      </c>
      <c r="B27" s="48">
        <v>0.38274706867671693</v>
      </c>
    </row>
    <row r="28" spans="1:2" x14ac:dyDescent="0.25">
      <c r="A28" s="44" t="s">
        <v>205</v>
      </c>
      <c r="B28" s="48">
        <v>0.20416333066453163</v>
      </c>
    </row>
    <row r="29" spans="1:2" x14ac:dyDescent="0.25">
      <c r="A29" s="44" t="s">
        <v>206</v>
      </c>
      <c r="B29" s="48">
        <v>8.2075471698113203E-2</v>
      </c>
    </row>
    <row r="30" spans="1:2" x14ac:dyDescent="0.25">
      <c r="A30" s="44" t="s">
        <v>210</v>
      </c>
      <c r="B30" s="48">
        <v>9.4413295955146179E-2</v>
      </c>
    </row>
    <row r="31" spans="1:2" x14ac:dyDescent="0.25">
      <c r="A31" s="44" t="s">
        <v>216</v>
      </c>
      <c r="B31" s="48">
        <v>0.16118220597196831</v>
      </c>
    </row>
    <row r="32" spans="1:2" x14ac:dyDescent="0.25">
      <c r="A32" s="44" t="s">
        <v>224</v>
      </c>
      <c r="B32" s="48">
        <v>0.20868152274837512</v>
      </c>
    </row>
    <row r="33" spans="1:2" x14ac:dyDescent="0.25">
      <c r="A33" s="44" t="s">
        <v>232</v>
      </c>
      <c r="B33" s="48">
        <v>7.984956452889945E-2</v>
      </c>
    </row>
    <row r="34" spans="1:2" x14ac:dyDescent="0.25">
      <c r="A34" s="44" t="s">
        <v>242</v>
      </c>
      <c r="B34" s="48">
        <v>8.7668609086629767E-2</v>
      </c>
    </row>
    <row r="35" spans="1:2" x14ac:dyDescent="0.25">
      <c r="A35" s="44" t="s">
        <v>247</v>
      </c>
      <c r="B35" s="48">
        <v>9.2298980747451867E-2</v>
      </c>
    </row>
    <row r="36" spans="1:2" x14ac:dyDescent="0.25">
      <c r="A36" s="44" t="s">
        <v>250</v>
      </c>
      <c r="B36" s="48">
        <v>0.35666666666666669</v>
      </c>
    </row>
    <row r="37" spans="1:2" x14ac:dyDescent="0.25">
      <c r="A37" s="44" t="s">
        <v>262</v>
      </c>
      <c r="B37" s="48">
        <v>0.10005698005698006</v>
      </c>
    </row>
    <row r="38" spans="1:2" x14ac:dyDescent="0.25">
      <c r="A38" s="44" t="s">
        <v>264</v>
      </c>
      <c r="B38" s="48">
        <v>0.16744313510550835</v>
      </c>
    </row>
    <row r="39" spans="1:2" x14ac:dyDescent="0.25">
      <c r="A39" s="44" t="s">
        <v>268</v>
      </c>
      <c r="B39" s="48">
        <v>7.4071349760941527E-2</v>
      </c>
    </row>
    <row r="40" spans="1:2" x14ac:dyDescent="0.25">
      <c r="A40" s="44" t="s">
        <v>272</v>
      </c>
      <c r="B40" s="48">
        <v>0.11369088028965829</v>
      </c>
    </row>
    <row r="41" spans="1:2" x14ac:dyDescent="0.25">
      <c r="A41" s="44" t="s">
        <v>274</v>
      </c>
      <c r="B41" s="48">
        <v>0.12942500000000001</v>
      </c>
    </row>
    <row r="42" spans="1:2" x14ac:dyDescent="0.25">
      <c r="A42" s="44" t="s">
        <v>285</v>
      </c>
      <c r="B42" s="48">
        <v>0.23414918414918415</v>
      </c>
    </row>
    <row r="43" spans="1:2" x14ac:dyDescent="0.25">
      <c r="A43" s="44" t="s">
        <v>288</v>
      </c>
      <c r="B43" s="48">
        <v>0.23616777446710979</v>
      </c>
    </row>
    <row r="44" spans="1:2" x14ac:dyDescent="0.25">
      <c r="A44" s="44" t="s">
        <v>291</v>
      </c>
      <c r="B44" s="48">
        <v>0.14265722032712325</v>
      </c>
    </row>
    <row r="45" spans="1:2" x14ac:dyDescent="0.25">
      <c r="A45" s="44" t="s">
        <v>295</v>
      </c>
      <c r="B45" s="48">
        <v>0.12537731780940059</v>
      </c>
    </row>
    <row r="46" spans="1:2" x14ac:dyDescent="0.25">
      <c r="A46" s="44" t="s">
        <v>301</v>
      </c>
      <c r="B46" s="48">
        <v>7.172350922350923E-2</v>
      </c>
    </row>
    <row r="47" spans="1:2" x14ac:dyDescent="0.25">
      <c r="A47" s="44" t="s">
        <v>309</v>
      </c>
      <c r="B47" s="48">
        <v>0.20871010638297871</v>
      </c>
    </row>
    <row r="48" spans="1:2" x14ac:dyDescent="0.25">
      <c r="A48" s="44" t="s">
        <v>310</v>
      </c>
      <c r="B48" s="48">
        <v>0.16065573770491803</v>
      </c>
    </row>
    <row r="49" spans="1:2" x14ac:dyDescent="0.25">
      <c r="A49" s="44" t="s">
        <v>311</v>
      </c>
      <c r="B49" s="48">
        <v>9.422796795338674E-2</v>
      </c>
    </row>
    <row r="50" spans="1:2" x14ac:dyDescent="0.25">
      <c r="A50" s="44" t="s">
        <v>313</v>
      </c>
      <c r="B50" s="48">
        <v>0.15571802706241816</v>
      </c>
    </row>
    <row r="51" spans="1:2" x14ac:dyDescent="0.25">
      <c r="A51" s="44" t="s">
        <v>319</v>
      </c>
      <c r="B51" s="48">
        <v>0.50192307692307692</v>
      </c>
    </row>
    <row r="52" spans="1:2" x14ac:dyDescent="0.25">
      <c r="A52" s="44" t="s">
        <v>326</v>
      </c>
      <c r="B52" s="48">
        <v>0.19864505202032423</v>
      </c>
    </row>
    <row r="53" spans="1:2" x14ac:dyDescent="0.25">
      <c r="A53" s="44" t="s">
        <v>332</v>
      </c>
      <c r="B53" s="48">
        <v>0.19511518179295032</v>
      </c>
    </row>
    <row r="54" spans="1:2" x14ac:dyDescent="0.25">
      <c r="A54" s="44" t="s">
        <v>343</v>
      </c>
      <c r="B54" s="48">
        <v>0.11307081114118571</v>
      </c>
    </row>
    <row r="55" spans="1:2" x14ac:dyDescent="0.25">
      <c r="A55" s="44" t="s">
        <v>350</v>
      </c>
      <c r="B55" s="48">
        <v>8.6630570595585168E-2</v>
      </c>
    </row>
    <row r="56" spans="1:2" x14ac:dyDescent="0.25">
      <c r="A56" s="44" t="s">
        <v>354</v>
      </c>
      <c r="B56" s="48">
        <v>0.15355188488042157</v>
      </c>
    </row>
    <row r="57" spans="1:2" x14ac:dyDescent="0.25">
      <c r="A57" s="44" t="s">
        <v>362</v>
      </c>
      <c r="B57" s="48">
        <v>6.8655003457763777E-2</v>
      </c>
    </row>
    <row r="58" spans="1:2" x14ac:dyDescent="0.25">
      <c r="A58" s="44" t="s">
        <v>366</v>
      </c>
      <c r="B58" s="48">
        <v>7.2739802071170159E-2</v>
      </c>
    </row>
    <row r="59" spans="1:2" x14ac:dyDescent="0.25">
      <c r="A59" s="44" t="s">
        <v>371</v>
      </c>
      <c r="B59" s="48">
        <v>0.6508215962441315</v>
      </c>
    </row>
    <row r="60" spans="1:2" x14ac:dyDescent="0.25">
      <c r="A60" s="44" t="s">
        <v>378</v>
      </c>
      <c r="B60" s="48">
        <v>7.5280481001673588E-2</v>
      </c>
    </row>
    <row r="61" spans="1:2" x14ac:dyDescent="0.25">
      <c r="A61" s="44" t="s">
        <v>380</v>
      </c>
      <c r="B61" s="48">
        <v>0.23673521198273673</v>
      </c>
    </row>
    <row r="62" spans="1:2" x14ac:dyDescent="0.25">
      <c r="A62" s="44" t="s">
        <v>382</v>
      </c>
      <c r="B62" s="48">
        <v>0.10132030477519921</v>
      </c>
    </row>
    <row r="63" spans="1:2" x14ac:dyDescent="0.25">
      <c r="A63" s="44" t="s">
        <v>383</v>
      </c>
      <c r="B63" s="48">
        <v>0.28696581196581195</v>
      </c>
    </row>
    <row r="64" spans="1:2" x14ac:dyDescent="0.25">
      <c r="A64" s="44" t="s">
        <v>385</v>
      </c>
      <c r="B64" s="48">
        <v>0.13614307931570763</v>
      </c>
    </row>
    <row r="65" spans="1:2" x14ac:dyDescent="0.25">
      <c r="A65" s="44" t="s">
        <v>387</v>
      </c>
      <c r="B65" s="48">
        <v>9.5290736237010829E-2</v>
      </c>
    </row>
    <row r="66" spans="1:2" x14ac:dyDescent="0.25">
      <c r="A66" s="44" t="s">
        <v>392</v>
      </c>
      <c r="B66" s="48">
        <v>8.4946236559139784E-2</v>
      </c>
    </row>
    <row r="67" spans="1:2" x14ac:dyDescent="0.25">
      <c r="A67" s="44" t="s">
        <v>394</v>
      </c>
      <c r="B67" s="48">
        <v>5.5909322465613857E-2</v>
      </c>
    </row>
    <row r="68" spans="1:2" x14ac:dyDescent="0.25">
      <c r="A68" s="44" t="s">
        <v>396</v>
      </c>
      <c r="B68" s="48">
        <v>9.9578134817341346E-2</v>
      </c>
    </row>
    <row r="69" spans="1:2" x14ac:dyDescent="0.25">
      <c r="A69" s="44" t="s">
        <v>412</v>
      </c>
      <c r="B69" s="48">
        <v>9.0606816292601824E-2</v>
      </c>
    </row>
    <row r="70" spans="1:2" x14ac:dyDescent="0.25">
      <c r="A70" s="44" t="s">
        <v>414</v>
      </c>
      <c r="B70" s="48">
        <v>8.2108498129342594E-2</v>
      </c>
    </row>
    <row r="71" spans="1:2" x14ac:dyDescent="0.25">
      <c r="A71" s="44" t="s">
        <v>422</v>
      </c>
      <c r="B71" s="48">
        <v>0.14316214319138981</v>
      </c>
    </row>
    <row r="72" spans="1:2" x14ac:dyDescent="0.25">
      <c r="A72" s="44" t="s">
        <v>427</v>
      </c>
      <c r="B72" s="48">
        <v>0.48518407662376534</v>
      </c>
    </row>
    <row r="73" spans="1:2" x14ac:dyDescent="0.25">
      <c r="A73" s="44" t="s">
        <v>428</v>
      </c>
      <c r="B73" s="48">
        <v>0.18632075471698112</v>
      </c>
    </row>
    <row r="74" spans="1:2" x14ac:dyDescent="0.25">
      <c r="A74" s="44" t="s">
        <v>448</v>
      </c>
      <c r="B74" s="48">
        <v>5.6653298485940883E-2</v>
      </c>
    </row>
    <row r="75" spans="1:2" x14ac:dyDescent="0.25">
      <c r="A75" s="44" t="s">
        <v>458</v>
      </c>
      <c r="B75" s="48">
        <v>0.7168674698795181</v>
      </c>
    </row>
    <row r="76" spans="1:2" x14ac:dyDescent="0.25">
      <c r="A76" s="44" t="s">
        <v>463</v>
      </c>
      <c r="B76" s="48">
        <v>0.1283706906360223</v>
      </c>
    </row>
    <row r="77" spans="1:2" x14ac:dyDescent="0.25">
      <c r="A77" s="44" t="s">
        <v>464</v>
      </c>
      <c r="B77" s="48">
        <v>0.12943516308671441</v>
      </c>
    </row>
    <row r="78" spans="1:2" x14ac:dyDescent="0.25">
      <c r="A78" s="44" t="s">
        <v>471</v>
      </c>
      <c r="B78" s="48">
        <v>0.17743908486792079</v>
      </c>
    </row>
    <row r="79" spans="1:2" x14ac:dyDescent="0.25">
      <c r="A79" s="44" t="s">
        <v>473</v>
      </c>
      <c r="B79" s="48">
        <v>0.18519683938186141</v>
      </c>
    </row>
    <row r="80" spans="1:2" x14ac:dyDescent="0.25">
      <c r="A80" s="44" t="s">
        <v>482</v>
      </c>
      <c r="B80" s="48">
        <v>0.11879910213243547</v>
      </c>
    </row>
    <row r="81" spans="1:2" x14ac:dyDescent="0.25">
      <c r="A81" s="44" t="s">
        <v>485</v>
      </c>
      <c r="B81" s="48">
        <v>0.26297968397291194</v>
      </c>
    </row>
    <row r="82" spans="1:2" x14ac:dyDescent="0.25">
      <c r="A82" s="44" t="s">
        <v>486</v>
      </c>
      <c r="B82" s="48">
        <v>8.7733440816874911E-2</v>
      </c>
    </row>
    <row r="83" spans="1:2" x14ac:dyDescent="0.25">
      <c r="A83" s="44" t="s">
        <v>487</v>
      </c>
      <c r="B83" s="48">
        <v>7.3170731707317069E-2</v>
      </c>
    </row>
    <row r="84" spans="1:2" x14ac:dyDescent="0.25">
      <c r="A84" s="44" t="s">
        <v>491</v>
      </c>
      <c r="B84" s="48">
        <v>8.6897539284772202E-2</v>
      </c>
    </row>
    <row r="85" spans="1:2" x14ac:dyDescent="0.25">
      <c r="A85" s="44" t="s">
        <v>493</v>
      </c>
      <c r="B85" s="48">
        <v>0.13331166419019316</v>
      </c>
    </row>
    <row r="86" spans="1:2" x14ac:dyDescent="0.25">
      <c r="A86" s="44" t="s">
        <v>499</v>
      </c>
      <c r="B86" s="48">
        <v>0.2023049153013052</v>
      </c>
    </row>
    <row r="87" spans="1:2" x14ac:dyDescent="0.25">
      <c r="A87" s="44" t="s">
        <v>502</v>
      </c>
      <c r="B87" s="48">
        <v>8.7752275425405618E-2</v>
      </c>
    </row>
    <row r="88" spans="1:2" x14ac:dyDescent="0.25">
      <c r="A88" s="44" t="s">
        <v>508</v>
      </c>
      <c r="B88" s="48">
        <v>0.26876680752977333</v>
      </c>
    </row>
    <row r="89" spans="1:2" x14ac:dyDescent="0.25">
      <c r="A89" s="44" t="s">
        <v>524</v>
      </c>
      <c r="B89" s="48">
        <v>9.7700431949264685E-2</v>
      </c>
    </row>
    <row r="90" spans="1:2" x14ac:dyDescent="0.25">
      <c r="A90" s="44" t="s">
        <v>527</v>
      </c>
      <c r="B90" s="48">
        <v>0.16754738655944859</v>
      </c>
    </row>
    <row r="91" spans="1:2" x14ac:dyDescent="0.25">
      <c r="A91" s="44" t="s">
        <v>528</v>
      </c>
      <c r="B91" s="48">
        <v>0.2015852613538989</v>
      </c>
    </row>
    <row r="92" spans="1:2" x14ac:dyDescent="0.25">
      <c r="A92" s="44" t="s">
        <v>534</v>
      </c>
      <c r="B92" s="48">
        <v>8.3274853801169585E-2</v>
      </c>
    </row>
    <row r="93" spans="1:2" x14ac:dyDescent="0.25">
      <c r="A93" s="44" t="s">
        <v>546</v>
      </c>
      <c r="B93" s="48">
        <v>6.800325430032543E-2</v>
      </c>
    </row>
    <row r="94" spans="1:2" x14ac:dyDescent="0.25">
      <c r="A94" s="44" t="s">
        <v>548</v>
      </c>
      <c r="B94" s="48">
        <v>7.3018902217375503E-2</v>
      </c>
    </row>
    <row r="95" spans="1:2" x14ac:dyDescent="0.25">
      <c r="A95" s="44" t="s">
        <v>551</v>
      </c>
      <c r="B95" s="48">
        <v>7.1956537279290869E-2</v>
      </c>
    </row>
    <row r="96" spans="1:2" x14ac:dyDescent="0.25">
      <c r="A96" s="44" t="s">
        <v>554</v>
      </c>
      <c r="B96" s="48">
        <v>0.12428384068475185</v>
      </c>
    </row>
    <row r="97" spans="1:2" x14ac:dyDescent="0.25">
      <c r="A97" s="44" t="s">
        <v>559</v>
      </c>
      <c r="B97" s="48">
        <v>5.9387824897400819E-2</v>
      </c>
    </row>
    <row r="98" spans="1:2" x14ac:dyDescent="0.25">
      <c r="A98" s="44" t="s">
        <v>563</v>
      </c>
      <c r="B98" s="48">
        <v>5.8563792702765516E-2</v>
      </c>
    </row>
    <row r="99" spans="1:2" x14ac:dyDescent="0.25">
      <c r="A99" s="44" t="s">
        <v>614</v>
      </c>
      <c r="B99" s="48"/>
    </row>
    <row r="100" spans="1:2" x14ac:dyDescent="0.25">
      <c r="A100" s="44" t="s">
        <v>615</v>
      </c>
      <c r="B100" s="48">
        <v>0.15525398354503414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51AB0-0617-4289-AFD6-2A1BEFFAFA53}">
  <dimension ref="A1:I15"/>
  <sheetViews>
    <sheetView workbookViewId="0">
      <selection activeCell="A4" sqref="A4"/>
    </sheetView>
  </sheetViews>
  <sheetFormatPr defaultRowHeight="15" x14ac:dyDescent="0.25"/>
  <cols>
    <col min="1" max="1" width="13.140625" bestFit="1" customWidth="1"/>
    <col min="2" max="2" width="27" bestFit="1" customWidth="1"/>
    <col min="3" max="3" width="12.85546875" bestFit="1" customWidth="1"/>
    <col min="4" max="4" width="12.5703125" bestFit="1" customWidth="1"/>
  </cols>
  <sheetData>
    <row r="1" spans="1:9" ht="15.75" thickBot="1" x14ac:dyDescent="0.3">
      <c r="B1" s="50"/>
      <c r="C1" s="50"/>
      <c r="D1" s="50"/>
      <c r="E1" s="50"/>
      <c r="F1" s="50"/>
      <c r="G1" s="51"/>
      <c r="H1" s="15"/>
      <c r="I1" s="15"/>
    </row>
    <row r="2" spans="1:9" ht="15.75" thickBot="1" x14ac:dyDescent="0.3">
      <c r="A2" s="101" t="s">
        <v>636</v>
      </c>
      <c r="B2" s="102"/>
      <c r="C2" s="102"/>
      <c r="D2" s="102"/>
      <c r="E2" s="50"/>
      <c r="F2" s="50"/>
      <c r="G2" s="51"/>
      <c r="H2" s="15"/>
      <c r="I2" s="15"/>
    </row>
    <row r="3" spans="1:9" ht="15.75" thickBot="1" x14ac:dyDescent="0.3">
      <c r="A3" s="68" t="s">
        <v>613</v>
      </c>
      <c r="B3" s="73" t="s">
        <v>623</v>
      </c>
      <c r="C3" s="74" t="s">
        <v>635</v>
      </c>
      <c r="D3" s="75" t="s">
        <v>621</v>
      </c>
      <c r="E3" s="15"/>
      <c r="F3" s="15"/>
      <c r="G3" s="53"/>
      <c r="H3" s="15"/>
      <c r="I3" s="15"/>
    </row>
    <row r="4" spans="1:9" x14ac:dyDescent="0.25">
      <c r="A4" s="69" t="s">
        <v>44</v>
      </c>
      <c r="B4" s="63">
        <v>0.17416554369953541</v>
      </c>
      <c r="C4" s="64">
        <v>390987</v>
      </c>
      <c r="D4" s="65">
        <v>1790</v>
      </c>
      <c r="E4" s="15"/>
      <c r="F4" s="15"/>
      <c r="G4" s="53"/>
      <c r="H4" s="15"/>
      <c r="I4" s="15"/>
    </row>
    <row r="5" spans="1:9" x14ac:dyDescent="0.25">
      <c r="A5" s="70" t="s">
        <v>51</v>
      </c>
      <c r="B5" s="66">
        <v>0.15035567844671385</v>
      </c>
      <c r="C5" s="18">
        <v>370491</v>
      </c>
      <c r="D5" s="59">
        <v>1581</v>
      </c>
      <c r="E5" s="15"/>
      <c r="F5" s="15"/>
      <c r="G5" s="53"/>
      <c r="H5" s="15"/>
      <c r="I5" s="15"/>
    </row>
    <row r="6" spans="1:9" ht="15.75" thickBot="1" x14ac:dyDescent="0.3">
      <c r="A6" s="71" t="s">
        <v>73</v>
      </c>
      <c r="B6" s="66">
        <v>0.12968338256813225</v>
      </c>
      <c r="C6" s="18">
        <v>348581</v>
      </c>
      <c r="D6" s="59">
        <v>1046</v>
      </c>
      <c r="E6" s="15"/>
      <c r="F6" s="15"/>
      <c r="G6" s="53"/>
      <c r="H6" s="15"/>
      <c r="I6" s="15"/>
    </row>
    <row r="7" spans="1:9" ht="15.75" thickBot="1" x14ac:dyDescent="0.3">
      <c r="A7" s="72" t="s">
        <v>615</v>
      </c>
      <c r="B7" s="67">
        <v>0.15219519707988788</v>
      </c>
      <c r="C7" s="61">
        <v>1110059</v>
      </c>
      <c r="D7" s="62">
        <v>4417</v>
      </c>
      <c r="E7" s="15"/>
      <c r="F7" s="15"/>
      <c r="G7" s="53"/>
      <c r="H7" s="15"/>
      <c r="I7" s="15"/>
    </row>
    <row r="8" spans="1:9" x14ac:dyDescent="0.25">
      <c r="A8" s="52"/>
      <c r="B8" s="15"/>
      <c r="C8" s="15"/>
      <c r="D8" s="15"/>
      <c r="E8" s="15"/>
      <c r="F8" s="15"/>
      <c r="G8" s="53"/>
      <c r="H8" s="15"/>
      <c r="I8" s="15"/>
    </row>
    <row r="9" spans="1:9" x14ac:dyDescent="0.25">
      <c r="A9" s="52"/>
      <c r="B9" s="15"/>
      <c r="C9" s="15"/>
      <c r="D9" s="15"/>
      <c r="E9" s="15"/>
      <c r="F9" s="15"/>
      <c r="G9" s="53"/>
      <c r="H9" s="15"/>
      <c r="I9" s="15"/>
    </row>
    <row r="10" spans="1:9" ht="15.75" thickBot="1" x14ac:dyDescent="0.3">
      <c r="A10" s="56"/>
      <c r="B10" s="57"/>
      <c r="C10" s="57"/>
      <c r="D10" s="57"/>
      <c r="E10" s="57"/>
      <c r="F10" s="57"/>
      <c r="G10" s="58"/>
      <c r="H10" s="15"/>
      <c r="I10" s="15"/>
    </row>
    <row r="11" spans="1:9" x14ac:dyDescent="0.25">
      <c r="A11" s="15"/>
      <c r="B11" s="15"/>
      <c r="C11" s="15"/>
      <c r="D11" s="15"/>
      <c r="E11" s="15"/>
      <c r="F11" s="15"/>
      <c r="G11" s="15"/>
      <c r="H11" s="15"/>
      <c r="I11" s="15"/>
    </row>
    <row r="12" spans="1:9" x14ac:dyDescent="0.25">
      <c r="A12" s="15"/>
      <c r="B12" s="15"/>
      <c r="C12" s="15"/>
      <c r="D12" s="15"/>
      <c r="E12" s="15"/>
      <c r="F12" s="15"/>
      <c r="G12" s="15"/>
      <c r="H12" s="15"/>
      <c r="I12" s="15"/>
    </row>
    <row r="13" spans="1:9" x14ac:dyDescent="0.25">
      <c r="A13" s="15"/>
      <c r="B13" s="15"/>
      <c r="C13" s="15"/>
      <c r="D13" s="15"/>
      <c r="E13" s="15"/>
      <c r="F13" s="15"/>
      <c r="G13" s="15"/>
      <c r="H13" s="15"/>
      <c r="I13" s="15"/>
    </row>
    <row r="14" spans="1:9" x14ac:dyDescent="0.25">
      <c r="A14" s="15"/>
      <c r="B14" s="15"/>
      <c r="C14" s="15"/>
      <c r="D14" s="15"/>
      <c r="E14" s="15"/>
      <c r="F14" s="15"/>
      <c r="G14" s="15"/>
      <c r="H14" s="15"/>
      <c r="I14" s="15"/>
    </row>
    <row r="15" spans="1:9" x14ac:dyDescent="0.25">
      <c r="A15" s="15"/>
      <c r="B15" s="15"/>
      <c r="C15" s="15"/>
      <c r="D15" s="15"/>
      <c r="E15" s="15"/>
      <c r="F15" s="15"/>
      <c r="G15" s="15"/>
      <c r="H15" s="15"/>
      <c r="I15"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36FF-E515-4B64-8C3B-ECBF6FF168F2}">
  <dimension ref="A1:E34"/>
  <sheetViews>
    <sheetView workbookViewId="0">
      <selection activeCell="K8" sqref="K8"/>
    </sheetView>
  </sheetViews>
  <sheetFormatPr defaultRowHeight="15" x14ac:dyDescent="0.25"/>
  <cols>
    <col min="1" max="1" width="13.140625" bestFit="1" customWidth="1"/>
    <col min="2" max="2" width="15.140625" bestFit="1" customWidth="1"/>
    <col min="3" max="3" width="27" bestFit="1" customWidth="1"/>
    <col min="4" max="4" width="22.140625" bestFit="1" customWidth="1"/>
    <col min="5" max="5" width="21.7109375" customWidth="1"/>
  </cols>
  <sheetData>
    <row r="1" spans="1:5" ht="15.75" thickBot="1" x14ac:dyDescent="0.3"/>
    <row r="2" spans="1:5" x14ac:dyDescent="0.25">
      <c r="A2" s="101" t="s">
        <v>643</v>
      </c>
      <c r="B2" s="102"/>
      <c r="C2" s="102"/>
      <c r="D2" s="102"/>
      <c r="E2" s="103"/>
    </row>
    <row r="3" spans="1:5" x14ac:dyDescent="0.25">
      <c r="A3" s="54" t="s">
        <v>1</v>
      </c>
      <c r="B3" s="76" t="s">
        <v>3</v>
      </c>
      <c r="C3" s="15" t="s">
        <v>623</v>
      </c>
      <c r="D3" s="15" t="s">
        <v>627</v>
      </c>
      <c r="E3" s="53" t="s">
        <v>637</v>
      </c>
    </row>
    <row r="4" spans="1:5" x14ac:dyDescent="0.25">
      <c r="A4" s="52" t="s">
        <v>42</v>
      </c>
      <c r="B4" s="15" t="s">
        <v>34</v>
      </c>
      <c r="C4" s="77">
        <v>0.15898977777988449</v>
      </c>
      <c r="D4" s="78">
        <v>28969.272727272728</v>
      </c>
      <c r="E4" s="79">
        <v>28358.909090909092</v>
      </c>
    </row>
    <row r="5" spans="1:5" x14ac:dyDescent="0.25">
      <c r="A5" s="52"/>
      <c r="B5" s="15" t="s">
        <v>73</v>
      </c>
      <c r="C5" s="77">
        <v>0.12899653614759149</v>
      </c>
      <c r="D5" s="78">
        <v>47053.333333333336</v>
      </c>
      <c r="E5" s="79">
        <v>46548.333333333336</v>
      </c>
    </row>
    <row r="6" spans="1:5" x14ac:dyDescent="0.25">
      <c r="A6" s="52"/>
      <c r="B6" s="15" t="s">
        <v>51</v>
      </c>
      <c r="C6" s="77">
        <v>0.11892682975133066</v>
      </c>
      <c r="D6" s="78">
        <v>39665.96</v>
      </c>
      <c r="E6" s="79">
        <v>39002.68</v>
      </c>
    </row>
    <row r="7" spans="1:5" x14ac:dyDescent="0.25">
      <c r="A7" s="52"/>
      <c r="B7" s="15" t="s">
        <v>44</v>
      </c>
      <c r="C7" s="77">
        <v>0.11820589815604368</v>
      </c>
      <c r="D7" s="78">
        <v>40390.785714285717</v>
      </c>
      <c r="E7" s="79">
        <v>39865.571428571428</v>
      </c>
    </row>
    <row r="8" spans="1:5" x14ac:dyDescent="0.25">
      <c r="A8" s="52"/>
      <c r="B8" s="15" t="s">
        <v>15</v>
      </c>
      <c r="C8" s="77">
        <v>0.10810248159985612</v>
      </c>
      <c r="D8" s="78">
        <v>44396.909090909088</v>
      </c>
      <c r="E8" s="79">
        <v>43865.36363636364</v>
      </c>
    </row>
    <row r="9" spans="1:5" x14ac:dyDescent="0.25">
      <c r="A9" s="52"/>
      <c r="B9" s="15" t="s">
        <v>21</v>
      </c>
      <c r="C9" s="77">
        <v>0.10743951285512837</v>
      </c>
      <c r="D9" s="78">
        <v>34732.769230769234</v>
      </c>
      <c r="E9" s="79">
        <v>34207.076923076922</v>
      </c>
    </row>
    <row r="10" spans="1:5" x14ac:dyDescent="0.25">
      <c r="A10" s="52" t="s">
        <v>638</v>
      </c>
      <c r="B10" s="15"/>
      <c r="C10" s="77">
        <v>0.1219728995613255</v>
      </c>
      <c r="D10" s="78">
        <v>39025.951807228914</v>
      </c>
      <c r="E10" s="79">
        <v>38449.144578313251</v>
      </c>
    </row>
    <row r="11" spans="1:5" x14ac:dyDescent="0.25">
      <c r="A11" s="52" t="s">
        <v>32</v>
      </c>
      <c r="B11" s="15" t="s">
        <v>15</v>
      </c>
      <c r="C11" s="77">
        <v>0.26004033206333965</v>
      </c>
      <c r="D11" s="78">
        <v>26077.76923076923</v>
      </c>
      <c r="E11" s="79">
        <v>25570.615384615383</v>
      </c>
    </row>
    <row r="12" spans="1:5" x14ac:dyDescent="0.25">
      <c r="A12" s="52"/>
      <c r="B12" s="15" t="s">
        <v>34</v>
      </c>
      <c r="C12" s="77">
        <v>0.24558274253543638</v>
      </c>
      <c r="D12" s="78">
        <v>30044.941176470587</v>
      </c>
      <c r="E12" s="79">
        <v>29561.705882352941</v>
      </c>
    </row>
    <row r="13" spans="1:5" x14ac:dyDescent="0.25">
      <c r="A13" s="52"/>
      <c r="B13" s="15" t="s">
        <v>73</v>
      </c>
      <c r="C13" s="77">
        <v>0.2062396061640541</v>
      </c>
      <c r="D13" s="78">
        <v>19733.25</v>
      </c>
      <c r="E13" s="79">
        <v>19194.583333333332</v>
      </c>
    </row>
    <row r="14" spans="1:5" x14ac:dyDescent="0.25">
      <c r="A14" s="52"/>
      <c r="B14" s="15" t="s">
        <v>51</v>
      </c>
      <c r="C14" s="77">
        <v>0.14929862484025289</v>
      </c>
      <c r="D14" s="78">
        <v>39353.9</v>
      </c>
      <c r="E14" s="79">
        <v>38819.300000000003</v>
      </c>
    </row>
    <row r="15" spans="1:5" x14ac:dyDescent="0.25">
      <c r="A15" s="52"/>
      <c r="B15" s="15" t="s">
        <v>44</v>
      </c>
      <c r="C15" s="77">
        <v>0.14439860032256024</v>
      </c>
      <c r="D15" s="78">
        <v>31475.529411764706</v>
      </c>
      <c r="E15" s="79">
        <v>30981.823529411766</v>
      </c>
    </row>
    <row r="16" spans="1:5" x14ac:dyDescent="0.25">
      <c r="A16" s="52"/>
      <c r="B16" s="15" t="s">
        <v>21</v>
      </c>
      <c r="C16" s="77">
        <v>0.12920449104190179</v>
      </c>
      <c r="D16" s="78">
        <v>31055.9</v>
      </c>
      <c r="E16" s="79">
        <v>30429.3</v>
      </c>
    </row>
    <row r="17" spans="1:5" x14ac:dyDescent="0.25">
      <c r="A17" s="52" t="s">
        <v>639</v>
      </c>
      <c r="B17" s="15"/>
      <c r="C17" s="77">
        <v>0.19329257693923479</v>
      </c>
      <c r="D17" s="78">
        <v>29439.949367088608</v>
      </c>
      <c r="E17" s="79">
        <v>28917.455696202531</v>
      </c>
    </row>
    <row r="18" spans="1:5" x14ac:dyDescent="0.25">
      <c r="A18" s="52" t="s">
        <v>13</v>
      </c>
      <c r="B18" s="15" t="s">
        <v>34</v>
      </c>
      <c r="C18" s="77">
        <v>0.18859716943319418</v>
      </c>
      <c r="D18" s="78">
        <v>25415.111111111109</v>
      </c>
      <c r="E18" s="79">
        <v>24831.333333333332</v>
      </c>
    </row>
    <row r="19" spans="1:5" x14ac:dyDescent="0.25">
      <c r="A19" s="52"/>
      <c r="B19" s="15" t="s">
        <v>44</v>
      </c>
      <c r="C19" s="77">
        <v>0.15972488239914528</v>
      </c>
      <c r="D19" s="78">
        <v>36355.294117647056</v>
      </c>
      <c r="E19" s="79">
        <v>35824.882352941175</v>
      </c>
    </row>
    <row r="20" spans="1:5" x14ac:dyDescent="0.25">
      <c r="A20" s="52"/>
      <c r="B20" s="15" t="s">
        <v>51</v>
      </c>
      <c r="C20" s="77">
        <v>0.14756648191377314</v>
      </c>
      <c r="D20" s="78">
        <v>26339.894736842107</v>
      </c>
      <c r="E20" s="79">
        <v>25808.052631578947</v>
      </c>
    </row>
    <row r="21" spans="1:5" x14ac:dyDescent="0.25">
      <c r="A21" s="52"/>
      <c r="B21" s="15" t="s">
        <v>15</v>
      </c>
      <c r="C21" s="77">
        <v>0.12428081569427865</v>
      </c>
      <c r="D21" s="78">
        <v>37758.454545454544</v>
      </c>
      <c r="E21" s="79">
        <v>37262.909090909088</v>
      </c>
    </row>
    <row r="22" spans="1:5" x14ac:dyDescent="0.25">
      <c r="A22" s="52"/>
      <c r="B22" s="15" t="s">
        <v>21</v>
      </c>
      <c r="C22" s="77">
        <v>0.12088972902726508</v>
      </c>
      <c r="D22" s="78">
        <v>37256.818181818184</v>
      </c>
      <c r="E22" s="79">
        <v>36731.090909090912</v>
      </c>
    </row>
    <row r="23" spans="1:5" x14ac:dyDescent="0.25">
      <c r="A23" s="52"/>
      <c r="B23" s="15" t="s">
        <v>73</v>
      </c>
      <c r="C23" s="77">
        <v>0.1198087665867789</v>
      </c>
      <c r="D23" s="78">
        <v>32369.5</v>
      </c>
      <c r="E23" s="79">
        <v>31834.583333333332</v>
      </c>
    </row>
    <row r="24" spans="1:5" x14ac:dyDescent="0.25">
      <c r="A24" s="52" t="s">
        <v>640</v>
      </c>
      <c r="B24" s="15"/>
      <c r="C24" s="77">
        <v>0.14368407434207889</v>
      </c>
      <c r="D24" s="78">
        <v>32415.645569620254</v>
      </c>
      <c r="E24" s="79">
        <v>31883.632911392404</v>
      </c>
    </row>
    <row r="25" spans="1:5" x14ac:dyDescent="0.25">
      <c r="A25" s="52" t="s">
        <v>26</v>
      </c>
      <c r="B25" s="15" t="s">
        <v>44</v>
      </c>
      <c r="C25" s="77">
        <v>0.17416554369953544</v>
      </c>
      <c r="D25" s="78">
        <v>36012.545454545456</v>
      </c>
      <c r="E25" s="79">
        <v>35544.272727272728</v>
      </c>
    </row>
    <row r="26" spans="1:5" x14ac:dyDescent="0.25">
      <c r="A26" s="52"/>
      <c r="B26" s="15" t="s">
        <v>51</v>
      </c>
      <c r="C26" s="77">
        <v>0.15035567844671385</v>
      </c>
      <c r="D26" s="78">
        <v>41621.888888888891</v>
      </c>
      <c r="E26" s="79">
        <v>41165.666666666664</v>
      </c>
    </row>
    <row r="27" spans="1:5" x14ac:dyDescent="0.25">
      <c r="A27" s="52"/>
      <c r="B27" s="15" t="s">
        <v>73</v>
      </c>
      <c r="C27" s="77">
        <v>0.12968338256813228</v>
      </c>
      <c r="D27" s="78">
        <v>35356.400000000001</v>
      </c>
      <c r="E27" s="79">
        <v>34858.1</v>
      </c>
    </row>
    <row r="28" spans="1:5" x14ac:dyDescent="0.25">
      <c r="A28" s="52"/>
      <c r="B28" s="15" t="s">
        <v>15</v>
      </c>
      <c r="C28" s="77">
        <v>0.11688583584797579</v>
      </c>
      <c r="D28" s="78">
        <v>34422.166666666664</v>
      </c>
      <c r="E28" s="79">
        <v>33813.75</v>
      </c>
    </row>
    <row r="29" spans="1:5" x14ac:dyDescent="0.25">
      <c r="A29" s="52"/>
      <c r="B29" s="15" t="s">
        <v>21</v>
      </c>
      <c r="C29" s="77">
        <v>0.11459217612964397</v>
      </c>
      <c r="D29" s="78">
        <v>38568.5</v>
      </c>
      <c r="E29" s="79">
        <v>37974.25</v>
      </c>
    </row>
    <row r="30" spans="1:5" x14ac:dyDescent="0.25">
      <c r="A30" s="52"/>
      <c r="B30" s="15" t="s">
        <v>34</v>
      </c>
      <c r="C30" s="77">
        <v>9.4965330348360785E-2</v>
      </c>
      <c r="D30" s="78">
        <v>46943.777777777781</v>
      </c>
      <c r="E30" s="79">
        <v>46382.222222222219</v>
      </c>
    </row>
    <row r="31" spans="1:5" x14ac:dyDescent="0.25">
      <c r="A31" s="52" t="s">
        <v>641</v>
      </c>
      <c r="B31" s="15"/>
      <c r="C31" s="77">
        <v>0.13118493770753806</v>
      </c>
      <c r="D31" s="78">
        <v>38447.576271186437</v>
      </c>
      <c r="E31" s="79">
        <v>37916.237288135591</v>
      </c>
    </row>
    <row r="32" spans="1:5" x14ac:dyDescent="0.25">
      <c r="A32" s="52" t="s">
        <v>614</v>
      </c>
      <c r="B32" s="15" t="s">
        <v>614</v>
      </c>
      <c r="C32" s="77"/>
      <c r="D32" s="78"/>
      <c r="E32" s="79"/>
    </row>
    <row r="33" spans="1:5" x14ac:dyDescent="0.25">
      <c r="A33" s="52" t="s">
        <v>642</v>
      </c>
      <c r="B33" s="15"/>
      <c r="C33" s="77"/>
      <c r="D33" s="78"/>
      <c r="E33" s="79"/>
    </row>
    <row r="34" spans="1:5" ht="15.75" thickBot="1" x14ac:dyDescent="0.3">
      <c r="A34" s="56" t="s">
        <v>615</v>
      </c>
      <c r="B34" s="57"/>
      <c r="C34" s="80">
        <v>0.14828272479852853</v>
      </c>
      <c r="D34" s="81">
        <v>34647.176666666666</v>
      </c>
      <c r="E34" s="82">
        <v>34105.410000000003</v>
      </c>
    </row>
  </sheetData>
  <conditionalFormatting sqref="A3:E34">
    <cfRule type="dataBar" priority="3">
      <dataBar>
        <cfvo type="min"/>
        <cfvo type="max"/>
        <color rgb="FF63C384"/>
      </dataBar>
      <extLst>
        <ext xmlns:x14="http://schemas.microsoft.com/office/spreadsheetml/2009/9/main" uri="{B025F937-C7B1-47D3-B67F-A62EFF666E3E}">
          <x14:id>{E74DAE96-432E-4795-A60F-C946BD93797D}</x14:id>
        </ext>
      </extLst>
    </cfRule>
  </conditionalFormatting>
  <conditionalFormatting sqref="C3:C34">
    <cfRule type="dataBar" priority="2">
      <dataBar>
        <cfvo type="min"/>
        <cfvo type="max"/>
        <color rgb="FF638EC6"/>
      </dataBar>
      <extLst>
        <ext xmlns:x14="http://schemas.microsoft.com/office/spreadsheetml/2009/9/main" uri="{B025F937-C7B1-47D3-B67F-A62EFF666E3E}">
          <x14:id>{0071DB82-0D12-4D50-872C-3F1F9B8614CB}</x14:id>
        </ext>
      </extLst>
    </cfRule>
  </conditionalFormatting>
  <conditionalFormatting sqref="E3:E31">
    <cfRule type="dataBar" priority="1">
      <dataBar>
        <cfvo type="min"/>
        <cfvo type="max"/>
        <color rgb="FFFF555A"/>
      </dataBar>
      <extLst>
        <ext xmlns:x14="http://schemas.microsoft.com/office/spreadsheetml/2009/9/main" uri="{B025F937-C7B1-47D3-B67F-A62EFF666E3E}">
          <x14:id>{6823D873-1B87-4781-A585-E6BE571214C0}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74DAE96-432E-4795-A60F-C946BD93797D}">
            <x14:dataBar minLength="0" maxLength="100" border="1" negativeBarBorderColorSameAsPositive="0">
              <x14:cfvo type="autoMin"/>
              <x14:cfvo type="autoMax"/>
              <x14:borderColor rgb="FF63C384"/>
              <x14:negativeFillColor rgb="FFFF0000"/>
              <x14:negativeBorderColor rgb="FFFF0000"/>
              <x14:axisColor rgb="FF000000"/>
            </x14:dataBar>
          </x14:cfRule>
          <xm:sqref>A3:E34</xm:sqref>
        </x14:conditionalFormatting>
        <x14:conditionalFormatting xmlns:xm="http://schemas.microsoft.com/office/excel/2006/main">
          <x14:cfRule type="dataBar" id="{0071DB82-0D12-4D50-872C-3F1F9B8614CB}">
            <x14:dataBar minLength="0" maxLength="100" border="1" negativeBarBorderColorSameAsPositive="0">
              <x14:cfvo type="autoMin"/>
              <x14:cfvo type="autoMax"/>
              <x14:borderColor rgb="FF638EC6"/>
              <x14:negativeFillColor rgb="FFFF0000"/>
              <x14:negativeBorderColor rgb="FFFF0000"/>
              <x14:axisColor rgb="FF000000"/>
            </x14:dataBar>
          </x14:cfRule>
          <xm:sqref>C3:C34</xm:sqref>
        </x14:conditionalFormatting>
        <x14:conditionalFormatting xmlns:xm="http://schemas.microsoft.com/office/excel/2006/main">
          <x14:cfRule type="dataBar" id="{6823D873-1B87-4781-A585-E6BE571214C0}">
            <x14:dataBar minLength="0" maxLength="100" border="1" negativeBarBorderColorSameAsPositive="0">
              <x14:cfvo type="autoMin"/>
              <x14:cfvo type="autoMax"/>
              <x14:borderColor rgb="FFFF555A"/>
              <x14:negativeFillColor rgb="FFFF0000"/>
              <x14:negativeBorderColor rgb="FFFF0000"/>
              <x14:axisColor rgb="FF000000"/>
            </x14:dataBar>
          </x14:cfRule>
          <xm:sqref>E3:E31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53B1-D9DF-4719-A8E9-CDD3BE1E0D7B}">
  <dimension ref="A2:D17"/>
  <sheetViews>
    <sheetView workbookViewId="0">
      <selection activeCell="I12" sqref="I12"/>
    </sheetView>
  </sheetViews>
  <sheetFormatPr defaultRowHeight="15" x14ac:dyDescent="0.25"/>
  <cols>
    <col min="1" max="1" width="18.140625" customWidth="1"/>
    <col min="2" max="2" width="21.85546875" customWidth="1"/>
    <col min="3" max="3" width="18.85546875" customWidth="1"/>
    <col min="4" max="4" width="20.28515625" customWidth="1"/>
  </cols>
  <sheetData>
    <row r="2" spans="1:4" x14ac:dyDescent="0.25">
      <c r="A2" s="104" t="s">
        <v>628</v>
      </c>
      <c r="B2" s="105"/>
      <c r="C2" s="105"/>
      <c r="D2" s="106"/>
    </row>
    <row r="3" spans="1:4" x14ac:dyDescent="0.25">
      <c r="A3" s="14" t="s">
        <v>613</v>
      </c>
      <c r="B3" s="15" t="s">
        <v>626</v>
      </c>
      <c r="C3" s="15" t="s">
        <v>616</v>
      </c>
      <c r="D3" s="16" t="s">
        <v>621</v>
      </c>
    </row>
    <row r="4" spans="1:4" x14ac:dyDescent="0.25">
      <c r="A4" s="17" t="s">
        <v>18</v>
      </c>
      <c r="B4" s="18">
        <v>1851380</v>
      </c>
      <c r="C4" s="18">
        <v>150208</v>
      </c>
      <c r="D4" s="19">
        <v>7261</v>
      </c>
    </row>
    <row r="5" spans="1:4" x14ac:dyDescent="0.25">
      <c r="A5" s="17" t="s">
        <v>30</v>
      </c>
      <c r="B5" s="18">
        <v>2353229</v>
      </c>
      <c r="C5" s="18">
        <v>184800</v>
      </c>
      <c r="D5" s="19">
        <v>10333</v>
      </c>
    </row>
    <row r="6" spans="1:4" x14ac:dyDescent="0.25">
      <c r="A6" s="17" t="s">
        <v>24</v>
      </c>
      <c r="B6" s="18">
        <v>1895919</v>
      </c>
      <c r="C6" s="18">
        <v>137522</v>
      </c>
      <c r="D6" s="19">
        <v>8720</v>
      </c>
    </row>
    <row r="7" spans="1:4" x14ac:dyDescent="0.25">
      <c r="A7" s="17" t="s">
        <v>37</v>
      </c>
      <c r="B7" s="18">
        <v>2259795</v>
      </c>
      <c r="C7" s="18">
        <v>184657</v>
      </c>
      <c r="D7" s="19">
        <v>11569</v>
      </c>
    </row>
    <row r="8" spans="1:4" x14ac:dyDescent="0.25">
      <c r="A8" s="17" t="s">
        <v>614</v>
      </c>
      <c r="B8" s="18">
        <v>2033830</v>
      </c>
      <c r="C8" s="18">
        <v>162804</v>
      </c>
      <c r="D8" s="19">
        <v>7483</v>
      </c>
    </row>
    <row r="9" spans="1:4" x14ac:dyDescent="0.25">
      <c r="A9" s="21" t="s">
        <v>615</v>
      </c>
      <c r="B9" s="22">
        <v>10394153</v>
      </c>
      <c r="C9" s="22">
        <v>819991</v>
      </c>
      <c r="D9" s="23">
        <v>45366</v>
      </c>
    </row>
    <row r="10" spans="1:4" x14ac:dyDescent="0.25">
      <c r="A10" s="104" t="s">
        <v>629</v>
      </c>
      <c r="B10" s="105"/>
      <c r="C10" s="105"/>
      <c r="D10" s="106"/>
    </row>
    <row r="11" spans="1:4" x14ac:dyDescent="0.25">
      <c r="A11" s="14" t="s">
        <v>613</v>
      </c>
      <c r="B11" s="15" t="s">
        <v>627</v>
      </c>
      <c r="C11" s="15" t="s">
        <v>630</v>
      </c>
      <c r="D11" s="16" t="s">
        <v>622</v>
      </c>
    </row>
    <row r="12" spans="1:4" x14ac:dyDescent="0.25">
      <c r="A12" s="17" t="s">
        <v>18</v>
      </c>
      <c r="B12" s="18">
        <v>38570.416666666664</v>
      </c>
      <c r="C12" s="18">
        <v>3129.3333333333335</v>
      </c>
      <c r="D12" s="19">
        <v>151.27083333333334</v>
      </c>
    </row>
    <row r="13" spans="1:4" x14ac:dyDescent="0.25">
      <c r="A13" s="17" t="s">
        <v>30</v>
      </c>
      <c r="B13" s="18">
        <v>35122.820895522389</v>
      </c>
      <c r="C13" s="18">
        <v>2758.2089552238808</v>
      </c>
      <c r="D13" s="19">
        <v>154.22388059701493</v>
      </c>
    </row>
    <row r="14" spans="1:4" x14ac:dyDescent="0.25">
      <c r="A14" s="17" t="s">
        <v>24</v>
      </c>
      <c r="B14" s="18">
        <v>32688.258620689656</v>
      </c>
      <c r="C14" s="18">
        <v>2371.0689655172414</v>
      </c>
      <c r="D14" s="19">
        <v>150.34482758620689</v>
      </c>
    </row>
    <row r="15" spans="1:4" x14ac:dyDescent="0.25">
      <c r="A15" s="17" t="s">
        <v>37</v>
      </c>
      <c r="B15" s="18">
        <v>31828.098591549297</v>
      </c>
      <c r="C15" s="18">
        <v>2600.8028169014083</v>
      </c>
      <c r="D15" s="19">
        <v>162.94366197183098</v>
      </c>
    </row>
    <row r="16" spans="1:4" x14ac:dyDescent="0.25">
      <c r="A16" s="17" t="s">
        <v>614</v>
      </c>
      <c r="B16" s="18">
        <v>36318.392857142855</v>
      </c>
      <c r="C16" s="18">
        <v>2907.2142857142858</v>
      </c>
      <c r="D16" s="19">
        <v>133.625</v>
      </c>
    </row>
    <row r="17" spans="1:4" x14ac:dyDescent="0.25">
      <c r="A17" s="21" t="s">
        <v>615</v>
      </c>
      <c r="B17" s="22">
        <v>34647.176666666666</v>
      </c>
      <c r="C17" s="22">
        <v>2733.3033333333333</v>
      </c>
      <c r="D17" s="23">
        <v>151.22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6979-9274-4D6E-9548-E09249D972B6}">
  <dimension ref="A2:C9"/>
  <sheetViews>
    <sheetView workbookViewId="0">
      <selection activeCell="C22" sqref="C22"/>
    </sheetView>
  </sheetViews>
  <sheetFormatPr defaultRowHeight="15" x14ac:dyDescent="0.25"/>
  <cols>
    <col min="1" max="1" width="18" bestFit="1" customWidth="1"/>
    <col min="2" max="2" width="33.42578125" bestFit="1" customWidth="1"/>
    <col min="3" max="3" width="27.85546875" bestFit="1" customWidth="1"/>
    <col min="4" max="4" width="18.42578125" bestFit="1" customWidth="1"/>
  </cols>
  <sheetData>
    <row r="2" spans="1:3" x14ac:dyDescent="0.25">
      <c r="A2" s="112" t="s">
        <v>657</v>
      </c>
      <c r="B2" s="108"/>
    </row>
    <row r="3" spans="1:3" x14ac:dyDescent="0.25">
      <c r="A3" s="43" t="s">
        <v>613</v>
      </c>
      <c r="B3" t="s">
        <v>655</v>
      </c>
      <c r="C3" t="s">
        <v>656</v>
      </c>
    </row>
    <row r="4" spans="1:3" x14ac:dyDescent="0.25">
      <c r="A4" s="44" t="s">
        <v>18</v>
      </c>
      <c r="B4" s="10">
        <v>8.5549999999999997</v>
      </c>
      <c r="C4" s="10">
        <v>6.2439999999999998</v>
      </c>
    </row>
    <row r="5" spans="1:3" x14ac:dyDescent="0.25">
      <c r="A5" s="44" t="s">
        <v>30</v>
      </c>
      <c r="B5" s="10">
        <v>5.718</v>
      </c>
      <c r="C5" s="10">
        <v>5.6449999999999996</v>
      </c>
    </row>
    <row r="6" spans="1:3" x14ac:dyDescent="0.25">
      <c r="A6" s="44" t="s">
        <v>24</v>
      </c>
      <c r="B6" s="10">
        <v>5.0619999999999994</v>
      </c>
      <c r="C6" s="10">
        <v>6.875</v>
      </c>
    </row>
    <row r="7" spans="1:3" x14ac:dyDescent="0.25">
      <c r="A7" s="44" t="s">
        <v>37</v>
      </c>
      <c r="B7" s="10">
        <v>3.9249999999999998</v>
      </c>
      <c r="C7" s="10">
        <v>6.2780000000000005</v>
      </c>
    </row>
    <row r="8" spans="1:3" x14ac:dyDescent="0.25">
      <c r="A8" s="44" t="s">
        <v>614</v>
      </c>
      <c r="B8" s="10"/>
      <c r="C8" s="10"/>
    </row>
    <row r="9" spans="1:3" x14ac:dyDescent="0.25">
      <c r="A9" s="44" t="s">
        <v>615</v>
      </c>
      <c r="B9" s="10">
        <v>23.26</v>
      </c>
      <c r="C9" s="10">
        <v>25.042000000000002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FD30-AE7F-4EA6-ACF0-CDA79ECE16BA}">
  <dimension ref="A1:D9"/>
  <sheetViews>
    <sheetView workbookViewId="0">
      <selection activeCell="J7" sqref="J7"/>
    </sheetView>
  </sheetViews>
  <sheetFormatPr defaultRowHeight="15" x14ac:dyDescent="0.25"/>
  <cols>
    <col min="1" max="1" width="16.5703125" bestFit="1" customWidth="1"/>
    <col min="2" max="2" width="16.7109375" bestFit="1" customWidth="1"/>
    <col min="3" max="3" width="26.5703125" bestFit="1" customWidth="1"/>
    <col min="4" max="4" width="12" bestFit="1" customWidth="1"/>
  </cols>
  <sheetData>
    <row r="1" spans="1:4" x14ac:dyDescent="0.25">
      <c r="A1" s="43" t="s">
        <v>566</v>
      </c>
      <c r="B1" t="s">
        <v>664</v>
      </c>
    </row>
    <row r="2" spans="1:4" x14ac:dyDescent="0.25">
      <c r="A2" s="156" t="s">
        <v>699</v>
      </c>
    </row>
    <row r="3" spans="1:4" x14ac:dyDescent="0.25">
      <c r="A3" s="43" t="s">
        <v>613</v>
      </c>
      <c r="B3" t="s">
        <v>663</v>
      </c>
      <c r="C3" t="s">
        <v>662</v>
      </c>
      <c r="D3" t="s">
        <v>666</v>
      </c>
    </row>
    <row r="4" spans="1:4" x14ac:dyDescent="0.25">
      <c r="A4" s="44" t="s">
        <v>42</v>
      </c>
      <c r="B4" s="10">
        <v>1379539</v>
      </c>
      <c r="C4" s="10">
        <v>780999.52090000035</v>
      </c>
      <c r="D4" s="10">
        <v>0.56613080231874591</v>
      </c>
    </row>
    <row r="5" spans="1:4" x14ac:dyDescent="0.25">
      <c r="A5" s="44" t="s">
        <v>32</v>
      </c>
      <c r="B5" s="10">
        <v>1164373</v>
      </c>
      <c r="C5" s="10">
        <v>808238.42319999973</v>
      </c>
      <c r="D5" s="10">
        <v>0.6941404714812176</v>
      </c>
    </row>
    <row r="6" spans="1:4" x14ac:dyDescent="0.25">
      <c r="A6" s="117" t="s">
        <v>13</v>
      </c>
      <c r="B6" s="118">
        <v>1060357</v>
      </c>
      <c r="C6" s="118">
        <v>776801.61690000026</v>
      </c>
      <c r="D6" s="118">
        <v>0.73258498496261193</v>
      </c>
    </row>
    <row r="7" spans="1:4" x14ac:dyDescent="0.25">
      <c r="A7" s="44" t="s">
        <v>26</v>
      </c>
      <c r="B7" s="10">
        <v>1228647</v>
      </c>
      <c r="C7" s="10">
        <v>605086.51619999995</v>
      </c>
      <c r="D7" s="10">
        <v>0.49248198725915576</v>
      </c>
    </row>
    <row r="8" spans="1:4" x14ac:dyDescent="0.25">
      <c r="A8" s="44" t="s">
        <v>614</v>
      </c>
      <c r="B8" s="10"/>
      <c r="C8" s="10"/>
      <c r="D8" s="10" t="e">
        <v>#DIV/0!</v>
      </c>
    </row>
    <row r="9" spans="1:4" x14ac:dyDescent="0.25">
      <c r="A9" s="44" t="s">
        <v>615</v>
      </c>
      <c r="B9" s="10">
        <v>4832916</v>
      </c>
      <c r="C9" s="10">
        <v>2971126.0772000002</v>
      </c>
      <c r="D9" s="10">
        <v>0.61476882221830464</v>
      </c>
    </row>
  </sheetData>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AFD0-2ABD-4B12-B86E-ED3CE0416E89}">
  <dimension ref="A1:C10"/>
  <sheetViews>
    <sheetView workbookViewId="0">
      <selection activeCell="B20" sqref="B20"/>
    </sheetView>
  </sheetViews>
  <sheetFormatPr defaultRowHeight="15" x14ac:dyDescent="0.25"/>
  <cols>
    <col min="1" max="1" width="48.5703125" bestFit="1" customWidth="1"/>
    <col min="2" max="2" width="21.85546875" bestFit="1" customWidth="1"/>
  </cols>
  <sheetData>
    <row r="1" spans="1:3" x14ac:dyDescent="0.25">
      <c r="A1" s="43" t="s">
        <v>1</v>
      </c>
      <c r="B1" t="s">
        <v>664</v>
      </c>
    </row>
    <row r="2" spans="1:3" x14ac:dyDescent="0.25">
      <c r="A2" s="155" t="s">
        <v>698</v>
      </c>
      <c r="B2" s="155"/>
      <c r="C2" s="155"/>
    </row>
    <row r="3" spans="1:3" x14ac:dyDescent="0.25">
      <c r="A3" s="43" t="s">
        <v>613</v>
      </c>
      <c r="B3" t="s">
        <v>658</v>
      </c>
    </row>
    <row r="4" spans="1:3" x14ac:dyDescent="0.25">
      <c r="A4" s="113" t="s">
        <v>18</v>
      </c>
      <c r="B4" s="114">
        <v>60617</v>
      </c>
    </row>
    <row r="5" spans="1:3" x14ac:dyDescent="0.25">
      <c r="A5" s="44" t="s">
        <v>24</v>
      </c>
      <c r="B5" s="10">
        <v>52416</v>
      </c>
    </row>
    <row r="6" spans="1:3" x14ac:dyDescent="0.25">
      <c r="A6" s="44" t="s">
        <v>30</v>
      </c>
      <c r="B6" s="10">
        <v>44920</v>
      </c>
    </row>
    <row r="7" spans="1:3" x14ac:dyDescent="0.25">
      <c r="A7" s="44" t="s">
        <v>37</v>
      </c>
      <c r="B7" s="10">
        <v>43623</v>
      </c>
    </row>
    <row r="8" spans="1:3" x14ac:dyDescent="0.25">
      <c r="A8" s="44" t="s">
        <v>697</v>
      </c>
      <c r="B8" s="10">
        <v>8552</v>
      </c>
    </row>
    <row r="9" spans="1:3" x14ac:dyDescent="0.25">
      <c r="A9" s="44" t="s">
        <v>614</v>
      </c>
      <c r="B9" s="10"/>
    </row>
    <row r="10" spans="1:3" x14ac:dyDescent="0.25">
      <c r="A10" s="44" t="s">
        <v>615</v>
      </c>
      <c r="B10" s="10">
        <v>210128</v>
      </c>
    </row>
  </sheetData>
  <conditionalFormatting sqref="A3:B10">
    <cfRule type="dataBar" priority="1">
      <dataBar>
        <cfvo type="min"/>
        <cfvo type="max"/>
        <color rgb="FFFFB628"/>
      </dataBar>
      <extLst>
        <ext xmlns:x14="http://schemas.microsoft.com/office/spreadsheetml/2009/9/main" uri="{B025F937-C7B1-47D3-B67F-A62EFF666E3E}">
          <x14:id>{99D5FB23-5AED-40DD-A3D8-EE0435BC37B3}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9D5FB23-5AED-40DD-A3D8-EE0435BC37B3}">
            <x14:dataBar minLength="0" maxLength="100" border="1" negativeBarBorderColorSameAsPositive="0">
              <x14:cfvo type="autoMin"/>
              <x14:cfvo type="autoMax"/>
              <x14:borderColor rgb="FFFFB628"/>
              <x14:negativeFillColor rgb="FFFF0000"/>
              <x14:negativeBorderColor rgb="FFFF0000"/>
              <x14:axisColor rgb="FF000000"/>
            </x14:dataBar>
          </x14:cfRule>
          <xm:sqref>A3:B10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51D5-276C-40C0-945A-CA71F6C75A7E}">
  <dimension ref="A2:F6"/>
  <sheetViews>
    <sheetView workbookViewId="0">
      <selection activeCell="F1" sqref="F1"/>
    </sheetView>
  </sheetViews>
  <sheetFormatPr defaultRowHeight="15" x14ac:dyDescent="0.25"/>
  <cols>
    <col min="1" max="1" width="21.85546875" bestFit="1" customWidth="1"/>
    <col min="2" max="2" width="16.28515625" bestFit="1" customWidth="1"/>
    <col min="3" max="3" width="9.7109375" bestFit="1" customWidth="1"/>
    <col min="4" max="4" width="7.42578125" bestFit="1" customWidth="1"/>
    <col min="5" max="5" width="8.85546875" bestFit="1" customWidth="1"/>
    <col min="6" max="7" width="11.28515625" bestFit="1" customWidth="1"/>
    <col min="8" max="51" width="10.42578125" bestFit="1" customWidth="1"/>
    <col min="52" max="52" width="7.28515625" bestFit="1" customWidth="1"/>
    <col min="53" max="53" width="11.28515625" bestFit="1" customWidth="1"/>
  </cols>
  <sheetData>
    <row r="2" spans="1:6" x14ac:dyDescent="0.25">
      <c r="A2" s="115" t="s">
        <v>660</v>
      </c>
      <c r="B2" s="115"/>
      <c r="C2" s="115"/>
    </row>
    <row r="3" spans="1:6" x14ac:dyDescent="0.25">
      <c r="A3" s="43" t="s">
        <v>658</v>
      </c>
      <c r="B3" s="43" t="s">
        <v>645</v>
      </c>
    </row>
    <row r="4" spans="1:6" x14ac:dyDescent="0.25">
      <c r="A4" s="43" t="s">
        <v>613</v>
      </c>
      <c r="B4" t="s">
        <v>42</v>
      </c>
      <c r="C4" t="s">
        <v>32</v>
      </c>
      <c r="D4" t="s">
        <v>13</v>
      </c>
      <c r="E4" t="s">
        <v>26</v>
      </c>
      <c r="F4" t="s">
        <v>615</v>
      </c>
    </row>
    <row r="5" spans="1:6" x14ac:dyDescent="0.25">
      <c r="A5" s="44" t="s">
        <v>572</v>
      </c>
      <c r="B5" s="10">
        <v>350</v>
      </c>
      <c r="C5" s="10">
        <v>1757</v>
      </c>
      <c r="D5" s="10">
        <v>987</v>
      </c>
      <c r="E5" s="10">
        <v>883</v>
      </c>
      <c r="F5" s="10">
        <v>3977</v>
      </c>
    </row>
    <row r="6" spans="1:6" x14ac:dyDescent="0.25">
      <c r="A6" s="44" t="s">
        <v>615</v>
      </c>
      <c r="B6" s="10">
        <v>350</v>
      </c>
      <c r="C6" s="10">
        <v>1757</v>
      </c>
      <c r="D6" s="10">
        <v>987</v>
      </c>
      <c r="E6" s="10">
        <v>883</v>
      </c>
      <c r="F6" s="10">
        <v>3977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C6CE-CB5C-4CF3-9ED1-D1A76315E92E}">
  <dimension ref="A2:B55"/>
  <sheetViews>
    <sheetView workbookViewId="0">
      <selection activeCell="E7" sqref="E7"/>
    </sheetView>
  </sheetViews>
  <sheetFormatPr defaultRowHeight="15" x14ac:dyDescent="0.25"/>
  <cols>
    <col min="1" max="1" width="13.140625" bestFit="1" customWidth="1"/>
    <col min="2" max="2" width="21.85546875" bestFit="1" customWidth="1"/>
  </cols>
  <sheetData>
    <row r="2" spans="1:2" x14ac:dyDescent="0.25">
      <c r="A2" s="112" t="s">
        <v>659</v>
      </c>
      <c r="B2" s="108"/>
    </row>
    <row r="3" spans="1:2" x14ac:dyDescent="0.25">
      <c r="A3" s="43" t="s">
        <v>613</v>
      </c>
      <c r="B3" t="s">
        <v>658</v>
      </c>
    </row>
    <row r="4" spans="1:2" x14ac:dyDescent="0.25">
      <c r="A4" s="113" t="s">
        <v>581</v>
      </c>
      <c r="B4" s="114">
        <v>7075</v>
      </c>
    </row>
    <row r="5" spans="1:2" x14ac:dyDescent="0.25">
      <c r="A5" s="44" t="s">
        <v>248</v>
      </c>
      <c r="B5" s="10">
        <v>6545</v>
      </c>
    </row>
    <row r="6" spans="1:2" x14ac:dyDescent="0.25">
      <c r="A6" s="44" t="s">
        <v>587</v>
      </c>
      <c r="B6" s="10">
        <v>5924</v>
      </c>
    </row>
    <row r="7" spans="1:2" x14ac:dyDescent="0.25">
      <c r="A7" s="44" t="s">
        <v>281</v>
      </c>
      <c r="B7" s="10">
        <v>5741</v>
      </c>
    </row>
    <row r="8" spans="1:2" x14ac:dyDescent="0.25">
      <c r="A8" s="44" t="s">
        <v>111</v>
      </c>
      <c r="B8" s="10">
        <v>5721</v>
      </c>
    </row>
    <row r="9" spans="1:2" x14ac:dyDescent="0.25">
      <c r="A9" s="44" t="s">
        <v>220</v>
      </c>
      <c r="B9" s="10">
        <v>5681</v>
      </c>
    </row>
    <row r="10" spans="1:2" x14ac:dyDescent="0.25">
      <c r="A10" s="44" t="s">
        <v>86</v>
      </c>
      <c r="B10" s="10">
        <v>5594</v>
      </c>
    </row>
    <row r="11" spans="1:2" x14ac:dyDescent="0.25">
      <c r="A11" s="44" t="s">
        <v>580</v>
      </c>
      <c r="B11" s="10">
        <v>5491</v>
      </c>
    </row>
    <row r="12" spans="1:2" x14ac:dyDescent="0.25">
      <c r="A12" s="44" t="s">
        <v>14</v>
      </c>
      <c r="B12" s="10">
        <v>5284</v>
      </c>
    </row>
    <row r="13" spans="1:2" x14ac:dyDescent="0.25">
      <c r="A13" s="44" t="s">
        <v>146</v>
      </c>
      <c r="B13" s="10">
        <v>5248</v>
      </c>
    </row>
    <row r="14" spans="1:2" x14ac:dyDescent="0.25">
      <c r="A14" s="44" t="s">
        <v>589</v>
      </c>
      <c r="B14" s="10">
        <v>5190</v>
      </c>
    </row>
    <row r="15" spans="1:2" x14ac:dyDescent="0.25">
      <c r="A15" s="44" t="s">
        <v>128</v>
      </c>
      <c r="B15" s="10">
        <v>5187</v>
      </c>
    </row>
    <row r="16" spans="1:2" x14ac:dyDescent="0.25">
      <c r="A16" s="44" t="s">
        <v>586</v>
      </c>
      <c r="B16" s="10">
        <v>5133</v>
      </c>
    </row>
    <row r="17" spans="1:2" x14ac:dyDescent="0.25">
      <c r="A17" s="44" t="s">
        <v>126</v>
      </c>
      <c r="B17" s="10">
        <v>5057</v>
      </c>
    </row>
    <row r="18" spans="1:2" x14ac:dyDescent="0.25">
      <c r="A18" s="44" t="s">
        <v>78</v>
      </c>
      <c r="B18" s="10">
        <v>4978</v>
      </c>
    </row>
    <row r="19" spans="1:2" x14ac:dyDescent="0.25">
      <c r="A19" s="44" t="s">
        <v>33</v>
      </c>
      <c r="B19" s="10">
        <v>4757</v>
      </c>
    </row>
    <row r="20" spans="1:2" x14ac:dyDescent="0.25">
      <c r="A20" s="44" t="s">
        <v>583</v>
      </c>
      <c r="B20" s="10">
        <v>4617</v>
      </c>
    </row>
    <row r="21" spans="1:2" x14ac:dyDescent="0.25">
      <c r="A21" s="44" t="s">
        <v>577</v>
      </c>
      <c r="B21" s="10">
        <v>4612</v>
      </c>
    </row>
    <row r="22" spans="1:2" x14ac:dyDescent="0.25">
      <c r="A22" s="44" t="s">
        <v>231</v>
      </c>
      <c r="B22" s="10">
        <v>4566</v>
      </c>
    </row>
    <row r="23" spans="1:2" x14ac:dyDescent="0.25">
      <c r="A23" s="44" t="s">
        <v>585</v>
      </c>
      <c r="B23" s="10">
        <v>4548</v>
      </c>
    </row>
    <row r="24" spans="1:2" x14ac:dyDescent="0.25">
      <c r="A24" s="44" t="s">
        <v>163</v>
      </c>
      <c r="B24" s="10">
        <v>4539</v>
      </c>
    </row>
    <row r="25" spans="1:2" x14ac:dyDescent="0.25">
      <c r="A25" s="44" t="s">
        <v>363</v>
      </c>
      <c r="B25" s="10">
        <v>4525</v>
      </c>
    </row>
    <row r="26" spans="1:2" x14ac:dyDescent="0.25">
      <c r="A26" s="44" t="s">
        <v>573</v>
      </c>
      <c r="B26" s="10">
        <v>4404</v>
      </c>
    </row>
    <row r="27" spans="1:2" x14ac:dyDescent="0.25">
      <c r="A27" s="44" t="s">
        <v>576</v>
      </c>
      <c r="B27" s="10">
        <v>4353</v>
      </c>
    </row>
    <row r="28" spans="1:2" x14ac:dyDescent="0.25">
      <c r="A28" s="44" t="s">
        <v>124</v>
      </c>
      <c r="B28" s="10">
        <v>4353</v>
      </c>
    </row>
    <row r="29" spans="1:2" x14ac:dyDescent="0.25">
      <c r="A29" s="44" t="s">
        <v>223</v>
      </c>
      <c r="B29" s="10">
        <v>4276</v>
      </c>
    </row>
    <row r="30" spans="1:2" x14ac:dyDescent="0.25">
      <c r="A30" s="44" t="s">
        <v>47</v>
      </c>
      <c r="B30" s="10">
        <v>4236</v>
      </c>
    </row>
    <row r="31" spans="1:2" x14ac:dyDescent="0.25">
      <c r="A31" s="44" t="s">
        <v>194</v>
      </c>
      <c r="B31" s="10">
        <v>4234</v>
      </c>
    </row>
    <row r="32" spans="1:2" x14ac:dyDescent="0.25">
      <c r="A32" s="44" t="s">
        <v>575</v>
      </c>
      <c r="B32" s="10">
        <v>4144</v>
      </c>
    </row>
    <row r="33" spans="1:2" x14ac:dyDescent="0.25">
      <c r="A33" s="44" t="s">
        <v>150</v>
      </c>
      <c r="B33" s="10">
        <v>3986</v>
      </c>
    </row>
    <row r="34" spans="1:2" x14ac:dyDescent="0.25">
      <c r="A34" s="44" t="s">
        <v>572</v>
      </c>
      <c r="B34" s="10">
        <v>3977</v>
      </c>
    </row>
    <row r="35" spans="1:2" x14ac:dyDescent="0.25">
      <c r="A35" s="44" t="s">
        <v>582</v>
      </c>
      <c r="B35" s="10">
        <v>3955</v>
      </c>
    </row>
    <row r="36" spans="1:2" x14ac:dyDescent="0.25">
      <c r="A36" s="44" t="s">
        <v>411</v>
      </c>
      <c r="B36" s="10">
        <v>3921</v>
      </c>
    </row>
    <row r="37" spans="1:2" x14ac:dyDescent="0.25">
      <c r="A37" s="44" t="s">
        <v>584</v>
      </c>
      <c r="B37" s="10">
        <v>3794</v>
      </c>
    </row>
    <row r="38" spans="1:2" x14ac:dyDescent="0.25">
      <c r="A38" s="44" t="s">
        <v>76</v>
      </c>
      <c r="B38" s="10">
        <v>3655</v>
      </c>
    </row>
    <row r="39" spans="1:2" x14ac:dyDescent="0.25">
      <c r="A39" s="44" t="s">
        <v>167</v>
      </c>
      <c r="B39" s="10">
        <v>3615</v>
      </c>
    </row>
    <row r="40" spans="1:2" x14ac:dyDescent="0.25">
      <c r="A40" s="44" t="s">
        <v>200</v>
      </c>
      <c r="B40" s="10">
        <v>3506</v>
      </c>
    </row>
    <row r="41" spans="1:2" x14ac:dyDescent="0.25">
      <c r="A41" s="44" t="s">
        <v>80</v>
      </c>
      <c r="B41" s="10">
        <v>3265</v>
      </c>
    </row>
    <row r="42" spans="1:2" x14ac:dyDescent="0.25">
      <c r="A42" s="44" t="s">
        <v>579</v>
      </c>
      <c r="B42" s="10">
        <v>3187</v>
      </c>
    </row>
    <row r="43" spans="1:2" x14ac:dyDescent="0.25">
      <c r="A43" s="44" t="s">
        <v>196</v>
      </c>
      <c r="B43" s="10">
        <v>3172</v>
      </c>
    </row>
    <row r="44" spans="1:2" x14ac:dyDescent="0.25">
      <c r="A44" s="44" t="s">
        <v>267</v>
      </c>
      <c r="B44" s="10">
        <v>3145</v>
      </c>
    </row>
    <row r="45" spans="1:2" x14ac:dyDescent="0.25">
      <c r="A45" s="44" t="s">
        <v>27</v>
      </c>
      <c r="B45" s="10">
        <v>3058</v>
      </c>
    </row>
    <row r="46" spans="1:2" x14ac:dyDescent="0.25">
      <c r="A46" s="44" t="s">
        <v>314</v>
      </c>
      <c r="B46" s="10">
        <v>3058</v>
      </c>
    </row>
    <row r="47" spans="1:2" x14ac:dyDescent="0.25">
      <c r="A47" s="44" t="s">
        <v>574</v>
      </c>
      <c r="B47" s="10">
        <v>2816</v>
      </c>
    </row>
    <row r="48" spans="1:2" x14ac:dyDescent="0.25">
      <c r="A48" s="44" t="s">
        <v>578</v>
      </c>
      <c r="B48" s="10">
        <v>2785</v>
      </c>
    </row>
    <row r="49" spans="1:2" x14ac:dyDescent="0.25">
      <c r="A49" s="44" t="s">
        <v>454</v>
      </c>
      <c r="B49" s="10">
        <v>2295</v>
      </c>
    </row>
    <row r="50" spans="1:2" x14ac:dyDescent="0.25">
      <c r="A50" s="44" t="s">
        <v>500</v>
      </c>
      <c r="B50" s="10">
        <v>2145</v>
      </c>
    </row>
    <row r="51" spans="1:2" x14ac:dyDescent="0.25">
      <c r="A51" s="44" t="s">
        <v>233</v>
      </c>
      <c r="B51" s="10">
        <v>1905</v>
      </c>
    </row>
    <row r="52" spans="1:2" x14ac:dyDescent="0.25">
      <c r="A52" s="44" t="s">
        <v>66</v>
      </c>
      <c r="B52" s="10">
        <v>1606</v>
      </c>
    </row>
    <row r="53" spans="1:2" x14ac:dyDescent="0.25">
      <c r="A53" s="44" t="s">
        <v>588</v>
      </c>
      <c r="B53" s="10">
        <v>1269</v>
      </c>
    </row>
    <row r="54" spans="1:2" x14ac:dyDescent="0.25">
      <c r="A54" s="44" t="s">
        <v>614</v>
      </c>
      <c r="B54" s="10"/>
    </row>
    <row r="55" spans="1:2" x14ac:dyDescent="0.25">
      <c r="A55" s="44" t="s">
        <v>615</v>
      </c>
      <c r="B55" s="10">
        <v>210128</v>
      </c>
    </row>
  </sheetData>
  <pageMargins left="0.7" right="0.7" top="0.75" bottom="0.75" header="0.3" footer="0.3"/>
  <pageSetup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AB5F-B4D2-4AF2-BE4E-D0EA950E70C8}">
  <dimension ref="A2:C7"/>
  <sheetViews>
    <sheetView workbookViewId="0">
      <selection activeCell="B16" sqref="B16"/>
    </sheetView>
  </sheetViews>
  <sheetFormatPr defaultRowHeight="15" x14ac:dyDescent="0.25"/>
  <cols>
    <col min="1" max="1" width="13.28515625" bestFit="1" customWidth="1"/>
    <col min="2" max="2" width="21.85546875" bestFit="1" customWidth="1"/>
  </cols>
  <sheetData>
    <row r="2" spans="1:3" x14ac:dyDescent="0.25">
      <c r="A2" s="149" t="s">
        <v>695</v>
      </c>
      <c r="B2" s="150"/>
      <c r="C2" s="150"/>
    </row>
    <row r="3" spans="1:3" x14ac:dyDescent="0.25">
      <c r="A3" s="43" t="s">
        <v>613</v>
      </c>
      <c r="B3" t="s">
        <v>658</v>
      </c>
    </row>
    <row r="4" spans="1:3" x14ac:dyDescent="0.25">
      <c r="A4" s="44" t="s">
        <v>667</v>
      </c>
      <c r="B4" s="10"/>
    </row>
    <row r="5" spans="1:3" x14ac:dyDescent="0.25">
      <c r="A5" s="44" t="s">
        <v>668</v>
      </c>
      <c r="B5" s="10">
        <v>128660</v>
      </c>
    </row>
    <row r="6" spans="1:3" x14ac:dyDescent="0.25">
      <c r="A6" s="44" t="s">
        <v>669</v>
      </c>
      <c r="B6" s="10">
        <v>81468</v>
      </c>
    </row>
    <row r="7" spans="1:3" x14ac:dyDescent="0.25">
      <c r="A7" s="44" t="s">
        <v>615</v>
      </c>
      <c r="B7" s="10">
        <v>210128</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A3A2-2AB7-470B-BAA9-D0E56B7FD962}">
  <dimension ref="A1"/>
  <sheetViews>
    <sheetView workbookViewId="0">
      <selection activeCell="M15" sqref="M15"/>
    </sheetView>
  </sheetViews>
  <sheetFormatPr defaultRowHeight="15" x14ac:dyDescent="0.25"/>
  <cols>
    <col min="1" max="1" width="13.140625" bestFit="1" customWidth="1"/>
    <col min="2" max="2" width="20.28515625" bestFit="1" customWidth="1"/>
    <col min="3" max="3" width="22.5703125" bestFit="1" customWidth="1"/>
    <col min="4" max="20" width="12.7109375" bestFit="1" customWidth="1"/>
    <col min="21" max="25" width="12" bestFit="1" customWidth="1"/>
    <col min="26" max="26" width="11" bestFit="1" customWidth="1"/>
    <col min="27" max="46" width="12" bestFit="1" customWidth="1"/>
    <col min="47" max="47" width="11" bestFit="1" customWidth="1"/>
    <col min="48" max="51" width="12" bestFit="1" customWidth="1"/>
    <col min="52" max="52" width="11" bestFit="1" customWidth="1"/>
    <col min="53" max="87" width="12" bestFit="1" customWidth="1"/>
    <col min="88" max="88" width="11" bestFit="1" customWidth="1"/>
    <col min="89" max="94" width="12" bestFit="1" customWidth="1"/>
    <col min="95" max="95" width="11" bestFit="1" customWidth="1"/>
    <col min="96" max="99" width="12" bestFit="1" customWidth="1"/>
    <col min="100" max="100" width="11" bestFit="1" customWidth="1"/>
    <col min="101" max="102" width="12" bestFit="1" customWidth="1"/>
    <col min="103" max="103" width="11" bestFit="1" customWidth="1"/>
    <col min="104" max="108" width="12" bestFit="1" customWidth="1"/>
    <col min="109" max="109" width="11" bestFit="1" customWidth="1"/>
    <col min="110" max="110" width="12" bestFit="1" customWidth="1"/>
    <col min="111" max="111" width="11" bestFit="1" customWidth="1"/>
    <col min="112" max="124" width="12" bestFit="1" customWidth="1"/>
    <col min="125" max="125" width="11" bestFit="1" customWidth="1"/>
    <col min="126" max="133" width="12" bestFit="1" customWidth="1"/>
    <col min="134" max="134" width="11" bestFit="1" customWidth="1"/>
    <col min="135" max="137" width="12" bestFit="1" customWidth="1"/>
    <col min="138" max="138" width="11" bestFit="1" customWidth="1"/>
    <col min="139" max="148" width="12" bestFit="1" customWidth="1"/>
    <col min="149" max="149" width="11" bestFit="1" customWidth="1"/>
    <col min="150" max="159" width="12" bestFit="1" customWidth="1"/>
    <col min="160" max="160" width="11" bestFit="1" customWidth="1"/>
    <col min="161" max="201" width="12" bestFit="1" customWidth="1"/>
    <col min="202" max="202" width="7.28515625" bestFit="1" customWidth="1"/>
    <col min="203" max="203" width="11.28515625" bestFit="1" customWidth="1"/>
  </cols>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DC4F-6DBF-4DDB-B98A-13F5D75C36BB}">
  <dimension ref="A2:H14"/>
  <sheetViews>
    <sheetView workbookViewId="0">
      <selection activeCell="L13" sqref="L13"/>
    </sheetView>
  </sheetViews>
  <sheetFormatPr defaultRowHeight="15" x14ac:dyDescent="0.25"/>
  <sheetData>
    <row r="2" spans="1:8" x14ac:dyDescent="0.25">
      <c r="B2" s="146" t="s">
        <v>684</v>
      </c>
      <c r="C2" s="100"/>
    </row>
    <row r="3" spans="1:8" x14ac:dyDescent="0.25">
      <c r="A3">
        <v>1</v>
      </c>
      <c r="B3" s="147" t="s">
        <v>673</v>
      </c>
      <c r="C3" s="147"/>
      <c r="D3" s="147"/>
      <c r="E3" s="147"/>
      <c r="F3" s="147"/>
      <c r="G3" s="147"/>
      <c r="H3" s="147"/>
    </row>
    <row r="4" spans="1:8" x14ac:dyDescent="0.25">
      <c r="A4">
        <v>2</v>
      </c>
      <c r="B4" s="147" t="s">
        <v>674</v>
      </c>
      <c r="C4" s="147"/>
      <c r="D4" s="147"/>
      <c r="E4" s="147"/>
      <c r="F4" s="147"/>
      <c r="G4" s="147"/>
      <c r="H4" s="147"/>
    </row>
    <row r="5" spans="1:8" x14ac:dyDescent="0.25">
      <c r="A5">
        <v>3</v>
      </c>
      <c r="B5" s="147" t="s">
        <v>675</v>
      </c>
      <c r="C5" s="147"/>
      <c r="D5" s="147"/>
      <c r="E5" s="147"/>
      <c r="F5" s="147"/>
      <c r="G5" s="147"/>
      <c r="H5" s="147"/>
    </row>
    <row r="6" spans="1:8" x14ac:dyDescent="0.25">
      <c r="A6">
        <v>4</v>
      </c>
      <c r="B6" s="147" t="s">
        <v>676</v>
      </c>
      <c r="C6" s="147"/>
      <c r="D6" s="147"/>
      <c r="E6" s="147"/>
      <c r="F6" s="147"/>
      <c r="G6" s="147"/>
      <c r="H6" s="147"/>
    </row>
    <row r="7" spans="1:8" x14ac:dyDescent="0.25">
      <c r="A7">
        <v>5</v>
      </c>
      <c r="B7" s="147" t="s">
        <v>677</v>
      </c>
      <c r="C7" s="147"/>
      <c r="D7" s="147"/>
      <c r="E7" s="147"/>
      <c r="F7" s="147"/>
      <c r="G7" s="147"/>
      <c r="H7" s="147"/>
    </row>
    <row r="8" spans="1:8" x14ac:dyDescent="0.25">
      <c r="A8">
        <v>6</v>
      </c>
      <c r="B8" s="147" t="s">
        <v>678</v>
      </c>
      <c r="C8" s="147"/>
      <c r="D8" s="147"/>
      <c r="E8" s="147"/>
      <c r="F8" s="147"/>
      <c r="G8" s="147"/>
      <c r="H8" s="147"/>
    </row>
    <row r="9" spans="1:8" x14ac:dyDescent="0.25">
      <c r="B9" s="146" t="s">
        <v>685</v>
      </c>
      <c r="C9" s="100"/>
    </row>
    <row r="10" spans="1:8" x14ac:dyDescent="0.25">
      <c r="A10">
        <v>1</v>
      </c>
      <c r="B10" s="147" t="s">
        <v>679</v>
      </c>
      <c r="C10" s="147"/>
      <c r="D10" s="147"/>
      <c r="E10" s="147"/>
      <c r="F10" s="147"/>
      <c r="G10" s="147"/>
      <c r="H10" s="147"/>
    </row>
    <row r="11" spans="1:8" x14ac:dyDescent="0.25">
      <c r="A11">
        <v>2</v>
      </c>
      <c r="B11" s="147" t="s">
        <v>680</v>
      </c>
      <c r="C11" s="147"/>
      <c r="D11" s="147"/>
      <c r="E11" s="147"/>
      <c r="F11" s="147"/>
      <c r="G11" s="147"/>
      <c r="H11" s="147"/>
    </row>
    <row r="12" spans="1:8" x14ac:dyDescent="0.25">
      <c r="A12">
        <v>3</v>
      </c>
      <c r="B12" s="147" t="s">
        <v>681</v>
      </c>
      <c r="C12" s="147"/>
      <c r="D12" s="147"/>
      <c r="E12" s="147"/>
      <c r="F12" s="147"/>
      <c r="G12" s="147"/>
      <c r="H12" s="147"/>
    </row>
    <row r="13" spans="1:8" x14ac:dyDescent="0.25">
      <c r="A13">
        <v>4</v>
      </c>
      <c r="B13" s="147" t="s">
        <v>682</v>
      </c>
      <c r="C13" s="147"/>
      <c r="D13" s="147"/>
      <c r="E13" s="147"/>
      <c r="F13" s="147"/>
      <c r="G13" s="147"/>
      <c r="H13" s="147"/>
    </row>
    <row r="14" spans="1:8" x14ac:dyDescent="0.25">
      <c r="A14">
        <v>5</v>
      </c>
      <c r="B14" s="147" t="s">
        <v>683</v>
      </c>
      <c r="C14" s="147"/>
      <c r="D14" s="147"/>
      <c r="E14" s="147"/>
      <c r="F14" s="147"/>
      <c r="G14" s="147"/>
      <c r="H14" s="147"/>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15F4-A098-4B7D-B7B3-9FF0FE5E1AC5}">
  <dimension ref="E5:S5"/>
  <sheetViews>
    <sheetView tabSelected="1" workbookViewId="0">
      <selection activeCell="K18" sqref="K18"/>
    </sheetView>
  </sheetViews>
  <sheetFormatPr defaultRowHeight="15" x14ac:dyDescent="0.25"/>
  <cols>
    <col min="6" max="6" width="15.5703125" customWidth="1"/>
  </cols>
  <sheetData>
    <row r="5" spans="5:19" ht="34.5" customHeight="1" x14ac:dyDescent="0.5">
      <c r="E5" s="49"/>
      <c r="F5" s="158" t="s">
        <v>700</v>
      </c>
      <c r="G5" s="157" t="s">
        <v>701</v>
      </c>
      <c r="H5" s="150"/>
      <c r="I5" s="150"/>
      <c r="J5" s="150"/>
      <c r="K5" s="150"/>
      <c r="L5" s="150"/>
      <c r="M5" s="150"/>
      <c r="N5" s="150"/>
      <c r="O5" s="150"/>
      <c r="P5" s="150"/>
      <c r="Q5" s="150"/>
      <c r="R5" s="150"/>
      <c r="S5" s="150"/>
    </row>
  </sheetData>
  <hyperlinks>
    <hyperlink ref="G5" r:id="rId1" xr:uid="{9F57C993-C9D4-40C3-B5C8-8053F202ED4C}"/>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F740F0D-105E-4382-92CA-A1FD0B0CAE9A}">
  <ds:schemaRefs/>
</ds:datastoreItem>
</file>

<file path=customXml/itemProps2.xml><?xml version="1.0" encoding="utf-8"?>
<ds:datastoreItem xmlns:ds="http://schemas.openxmlformats.org/officeDocument/2006/customXml" ds:itemID="{5970FB91-2D17-4B8F-854B-CD7827BDD6B8}">
  <ds:schemaRefs/>
</ds:datastoreItem>
</file>

<file path=customXml/itemProps3.xml><?xml version="1.0" encoding="utf-8"?>
<ds:datastoreItem xmlns:ds="http://schemas.openxmlformats.org/officeDocument/2006/customXml" ds:itemID="{443353E0-B686-4A41-B129-8057219A6CBB}">
  <ds:schemaRefs/>
</ds:datastoreItem>
</file>

<file path=customXml/itemProps4.xml><?xml version="1.0" encoding="utf-8"?>
<ds:datastoreItem xmlns:ds="http://schemas.openxmlformats.org/officeDocument/2006/customXml" ds:itemID="{25A3413E-C3C4-451A-A823-D7BB99F6C2D6}">
  <ds:schemaRefs/>
</ds:datastoreItem>
</file>

<file path=customXml/itemProps5.xml><?xml version="1.0" encoding="utf-8"?>
<ds:datastoreItem xmlns:ds="http://schemas.openxmlformats.org/officeDocument/2006/customXml" ds:itemID="{B2FD0706-6E3E-4E7A-9B29-82F4C8C58AA9}">
  <ds:schemaRefs/>
</ds:datastoreItem>
</file>

<file path=customXml/itemProps6.xml><?xml version="1.0" encoding="utf-8"?>
<ds:datastoreItem xmlns:ds="http://schemas.openxmlformats.org/officeDocument/2006/customXml" ds:itemID="{5EDAED9C-A8B6-4B07-AA6A-349CB50183C2}">
  <ds:schemaRefs/>
</ds:datastoreItem>
</file>

<file path=customXml/itemProps7.xml><?xml version="1.0" encoding="utf-8"?>
<ds:datastoreItem xmlns:ds="http://schemas.openxmlformats.org/officeDocument/2006/customXml" ds:itemID="{F6365F15-AF49-4E09-87A7-C633F772B880}">
  <ds:schemaRefs/>
</ds:datastoreItem>
</file>

<file path=customXml/itemProps8.xml><?xml version="1.0" encoding="utf-8"?>
<ds:datastoreItem xmlns:ds="http://schemas.openxmlformats.org/officeDocument/2006/customXml" ds:itemID="{96269FC8-0C94-44AF-BE6C-C2E26BFB834C}">
  <ds:schemaRefs>
    <ds:schemaRef ds:uri="http://schemas.microsoft.com/DataMashup"/>
  </ds:schemaRefs>
</ds:datastoreItem>
</file>

<file path=customXml/itemProps9.xml><?xml version="1.0" encoding="utf-8"?>
<ds:datastoreItem xmlns:ds="http://schemas.openxmlformats.org/officeDocument/2006/customXml" ds:itemID="{75E727B5-63C0-4BF4-B9C0-C2C301B3B860}">
  <ds:schemaRefs/>
</ds:datastoreItem>
</file>

<file path=customXml/itemProps10.xml><?xml version="1.0" encoding="utf-8"?>
<ds:datastoreItem xmlns:ds="http://schemas.openxmlformats.org/officeDocument/2006/customXml" ds:itemID="{018EAD29-A686-429E-BB49-5532BFDD06F0}">
  <ds:schemaRefs/>
</ds:datastoreItem>
</file>

<file path=customXml/itemProps11.xml><?xml version="1.0" encoding="utf-8"?>
<ds:datastoreItem xmlns:ds="http://schemas.openxmlformats.org/officeDocument/2006/customXml" ds:itemID="{01D8D911-5B01-4700-B941-1BFCCBA8AA3E}">
  <ds:schemaRefs/>
</ds:datastoreItem>
</file>

<file path=customXml/itemProps12.xml><?xml version="1.0" encoding="utf-8"?>
<ds:datastoreItem xmlns:ds="http://schemas.openxmlformats.org/officeDocument/2006/customXml" ds:itemID="{E643AAD0-83C2-49F5-A532-E7872F343772}">
  <ds:schemaRefs/>
</ds:datastoreItem>
</file>

<file path=customXml/itemProps13.xml><?xml version="1.0" encoding="utf-8"?>
<ds:datastoreItem xmlns:ds="http://schemas.openxmlformats.org/officeDocument/2006/customXml" ds:itemID="{869C829A-E166-4F65-9CFD-870DC698294A}">
  <ds:schemaRefs/>
</ds:datastoreItem>
</file>

<file path=customXml/itemProps14.xml><?xml version="1.0" encoding="utf-8"?>
<ds:datastoreItem xmlns:ds="http://schemas.openxmlformats.org/officeDocument/2006/customXml" ds:itemID="{B70F4F51-7306-4E8E-B0C3-92CBE01AB5FD}">
  <ds:schemaRefs/>
</ds:datastoreItem>
</file>

<file path=customXml/itemProps15.xml><?xml version="1.0" encoding="utf-8"?>
<ds:datastoreItem xmlns:ds="http://schemas.openxmlformats.org/officeDocument/2006/customXml" ds:itemID="{E21AA279-7A20-404A-8D50-D5E52B1B5294}">
  <ds:schemaRefs/>
</ds:datastoreItem>
</file>

<file path=customXml/itemProps16.xml><?xml version="1.0" encoding="utf-8"?>
<ds:datastoreItem xmlns:ds="http://schemas.openxmlformats.org/officeDocument/2006/customXml" ds:itemID="{E1395996-EC28-4B04-AA85-03AE3C1C1D5E}">
  <ds:schemaRefs/>
</ds:datastoreItem>
</file>

<file path=customXml/itemProps17.xml><?xml version="1.0" encoding="utf-8"?>
<ds:datastoreItem xmlns:ds="http://schemas.openxmlformats.org/officeDocument/2006/customXml" ds:itemID="{52865E85-69AF-4560-994C-BBF9B34C4DB7}">
  <ds:schemaRefs/>
</ds:datastoreItem>
</file>

<file path=customXml/itemProps18.xml><?xml version="1.0" encoding="utf-8"?>
<ds:datastoreItem xmlns:ds="http://schemas.openxmlformats.org/officeDocument/2006/customXml" ds:itemID="{835A5670-662F-4259-B052-322961D8EF8A}">
  <ds:schemaRefs/>
</ds:datastoreItem>
</file>

<file path=customXml/itemProps19.xml><?xml version="1.0" encoding="utf-8"?>
<ds:datastoreItem xmlns:ds="http://schemas.openxmlformats.org/officeDocument/2006/customXml" ds:itemID="{D082C6EB-402D-4143-B5F0-2C485CC894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Posts</vt:lpstr>
      <vt:lpstr>Engagement Summary</vt:lpstr>
      <vt:lpstr>Campaign Metadata</vt:lpstr>
      <vt:lpstr>Task 2.2</vt:lpstr>
      <vt:lpstr>Task 2.3.1</vt:lpstr>
      <vt:lpstr>Task 2.3.2</vt:lpstr>
      <vt:lpstr>Task 2.4</vt:lpstr>
      <vt:lpstr>Task 3.1</vt:lpstr>
      <vt:lpstr>Task 3.2</vt:lpstr>
      <vt:lpstr>Task 3.3</vt:lpstr>
      <vt:lpstr>Task 3.4</vt:lpstr>
      <vt:lpstr>Task 4.1</vt:lpstr>
      <vt:lpstr>Task 4.2</vt:lpstr>
      <vt:lpstr>Task 4.3</vt:lpstr>
      <vt:lpstr>Task 4.4</vt:lpstr>
      <vt:lpstr>Task 5.1.1</vt:lpstr>
      <vt:lpstr>Task 5.1.2</vt:lpstr>
      <vt:lpstr>Task 5.2.1</vt:lpstr>
      <vt:lpstr>Task 5.2.2</vt:lpstr>
      <vt:lpstr>Task 6.1</vt:lpstr>
      <vt:lpstr>Task 6.2</vt:lpstr>
      <vt:lpstr>Task 6.3</vt:lpstr>
      <vt:lpstr>Task 6.4</vt:lpstr>
      <vt:lpstr>Conclusion</vt:lpstr>
      <vt:lpstr>Drive 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dc:creator>
  <cp:lastModifiedBy>rajatgusain17@gmail.com</cp:lastModifiedBy>
  <dcterms:created xsi:type="dcterms:W3CDTF">2026-03-19T13:16:40Z</dcterms:created>
  <dcterms:modified xsi:type="dcterms:W3CDTF">2026-03-27T07:24:17Z</dcterms:modified>
</cp:coreProperties>
</file>